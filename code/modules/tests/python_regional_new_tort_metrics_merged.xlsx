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22756463_student_uwa_edu_au/Documents/M4 Backup/dev/octava/code/modules/tests/"/>
    </mc:Choice>
  </mc:AlternateContent>
  <xr:revisionPtr revIDLastSave="15" documentId="11_54D5686D9559133BDB982411595ED87656CC5A09" xr6:coauthVersionLast="47" xr6:coauthVersionMax="47" xr10:uidLastSave="{798A1D31-69D1-1D4D-8EEF-5E132D5980AA}"/>
  <bookViews>
    <workbookView xWindow="0" yWindow="760" windowWidth="30240" windowHeight="18000" xr2:uid="{00000000-000D-0000-FFFF-FFFF00000000}"/>
  </bookViews>
  <sheets>
    <sheet name="regional_new_tort_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/>
  <c r="S2" i="1"/>
  <c r="Q3" i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2" i="1"/>
</calcChain>
</file>

<file path=xl/sharedStrings.xml><?xml version="1.0" encoding="utf-8"?>
<sst xmlns="http://schemas.openxmlformats.org/spreadsheetml/2006/main" count="559" uniqueCount="207">
  <si>
    <t>mat_path</t>
  </si>
  <si>
    <t>fileLabelName</t>
  </si>
  <si>
    <t>regionGridType</t>
  </si>
  <si>
    <t>regionIndex</t>
  </si>
  <si>
    <t>regionLabel</t>
  </si>
  <si>
    <t>num_links</t>
  </si>
  <si>
    <t>num_valid_links</t>
  </si>
  <si>
    <t>PWAOC_mean</t>
  </si>
  <si>
    <t>PWAOC_std</t>
  </si>
  <si>
    <t>SOAM_mean</t>
  </si>
  <si>
    <t>SOAM_std</t>
  </si>
  <si>
    <t>PWAOC_mean_matlab</t>
  </si>
  <si>
    <t>PWAOC_std_matlab</t>
  </si>
  <si>
    <t>SOAM_mean_matlab</t>
  </si>
  <si>
    <t>SOAM_std_matlab</t>
  </si>
  <si>
    <t>/Users/milameteor/Library/CloudStorage/OneDrive-UWA/M4 Backup/dev/octava/source/5000/regional_tort_validation/5000_ETDRS_grid_R01_Foveal_circle_tort_validation.mat</t>
  </si>
  <si>
    <t>5000</t>
  </si>
  <si>
    <t>ETDRS grid</t>
  </si>
  <si>
    <t>Foveal circle</t>
  </si>
  <si>
    <t>/Users/milameteor/Library/CloudStorage/OneDrive-UWA/M4 Backup/dev/octava/source/5000/regional_tort_validation/5000_ETDRS_grid_R02_Parafoveal_rim__tort_validation.mat</t>
  </si>
  <si>
    <t xml:space="preserve">Parafoveal rim </t>
  </si>
  <si>
    <t>/Users/milameteor/Library/CloudStorage/OneDrive-UWA/M4 Backup/dev/octava/source/5000/regional_tort_validation/5000_ETDRS_grid_R03_Superior_hemiparafoveal_rim_tort_validation.mat</t>
  </si>
  <si>
    <t>Superior hemi-parafoveal rim</t>
  </si>
  <si>
    <t>/Users/milameteor/Library/CloudStorage/OneDrive-UWA/M4 Backup/dev/octava/source/5000/regional_tort_validation/5000_ETDRS_grid_R04_Inferior_hemiparafoveal_rim_tort_validation.mat</t>
  </si>
  <si>
    <t>Inferior hemi-parafoveal rim</t>
  </si>
  <si>
    <t>/Users/milameteor/Library/CloudStorage/OneDrive-UWA/M4 Backup/dev/octava/source/5000/regional_tort_validation/5000_ETDRS_grid_R05_Nasal_parafoveal_rim_tort_validation.mat</t>
  </si>
  <si>
    <t>Nasal parafoveal rim</t>
  </si>
  <si>
    <t>/Users/milameteor/Library/CloudStorage/OneDrive-UWA/M4 Backup/dev/octava/source/5000/regional_tort_validation/5000_ETDRS_grid_R06_Tempo_parafoveal_rim_tort_validation.mat</t>
  </si>
  <si>
    <t>Tempo parafoveal rim</t>
  </si>
  <si>
    <t>/Users/milameteor/Library/CloudStorage/OneDrive-UWA/M4 Backup/dev/octava/source/5000/regional_tort_validation/5000_ETDRS_grid_R07_Superior_parafoveal_rim_tort_validation.mat</t>
  </si>
  <si>
    <t>Superior parafoveal rim</t>
  </si>
  <si>
    <t>/Users/milameteor/Library/CloudStorage/OneDrive-UWA/M4 Backup/dev/octava/source/5000/regional_tort_validation/5000_ETDRS_grid_R08_Inferior_parafoveal_rim_tort_validation.mat</t>
  </si>
  <si>
    <t>Inferior parafoveal rim</t>
  </si>
  <si>
    <t>/Users/milameteor/Library/CloudStorage/OneDrive-UWA/M4 Backup/dev/octava/source/5000/regional_tort_validation/5000_Extended_R01_Super_nasal_tort_validation.mat</t>
  </si>
  <si>
    <t>Extended</t>
  </si>
  <si>
    <t>Super nasal</t>
  </si>
  <si>
    <t>/Users/milameteor/Library/CloudStorage/OneDrive-UWA/M4 Backup/dev/octava/source/5000/regional_tort_validation/5000_Extended_R02_Nasal_superior_tort_validation.mat</t>
  </si>
  <si>
    <t>Nasal superior</t>
  </si>
  <si>
    <t>/Users/milameteor/Library/CloudStorage/OneDrive-UWA/M4 Backup/dev/octava/source/5000/regional_tort_validation/5000_Extended_R03_Temporal_superior_tort_validation.mat</t>
  </si>
  <si>
    <t>Temporal superior</t>
  </si>
  <si>
    <t>/Users/milameteor/Library/CloudStorage/OneDrive-UWA/M4 Backup/dev/octava/source/5000/regional_tort_validation/5000_Extended_R04_Super_temporal_tort_validation.mat</t>
  </si>
  <si>
    <t>Super temporal</t>
  </si>
  <si>
    <t>/Users/milameteor/Library/CloudStorage/OneDrive-UWA/M4 Backup/dev/octava/source/5000/regional_tort_validation/5000_Extended_R05_Inferio_temporal_tort_validation.mat</t>
  </si>
  <si>
    <t>Inferio temporal</t>
  </si>
  <si>
    <t>/Users/milameteor/Library/CloudStorage/OneDrive-UWA/M4 Backup/dev/octava/source/5000/regional_tort_validation/5000_Extended_R06_Temporal_inferior_tort_validation.mat</t>
  </si>
  <si>
    <t>Temporal inferior</t>
  </si>
  <si>
    <t>/Users/milameteor/Library/CloudStorage/OneDrive-UWA/M4 Backup/dev/octava/source/5000/regional_tort_validation/5000_Extended_R07_Nasal_inferior_tort_validation.mat</t>
  </si>
  <si>
    <t>Nasal inferior</t>
  </si>
  <si>
    <t>/Users/milameteor/Library/CloudStorage/OneDrive-UWA/M4 Backup/dev/octava/source/5000/regional_tort_validation/5000_Extended_R08_Inferio_nasal_tort_validation.mat</t>
  </si>
  <si>
    <t>Inferio nasal</t>
  </si>
  <si>
    <t>/Users/milameteor/Library/CloudStorage/OneDrive-UWA/M4 Backup/dev/octava/source/5000/regional_tort_validation/5000_Extended_R09_Nasal_wedge_tort_validation.mat</t>
  </si>
  <si>
    <t>Nasal wedge</t>
  </si>
  <si>
    <t>/Users/milameteor/Library/CloudStorage/OneDrive-UWA/M4 Backup/dev/octava/source/5000/regional_tort_validation/5000_Extended_R10_Temporal_wedge_tort_validation.mat</t>
  </si>
  <si>
    <t>Temporal wedge</t>
  </si>
  <si>
    <t>/Users/milameteor/Library/CloudStorage/OneDrive-UWA/M4 Backup/dev/octava/source/5000/regional_tort_validation/5000_Foveal_rings_R01_FAZ_circle_tort_validation.mat</t>
  </si>
  <si>
    <t>Foveal rings</t>
  </si>
  <si>
    <t>FAZ circle</t>
  </si>
  <si>
    <t>/Users/milameteor/Library/CloudStorage/OneDrive-UWA/M4 Backup/dev/octava/source/5000/regional_tort_validation/5000_Foveal_rings_R02_Inner_05mm_ring_around_FAZ_tort_validation.mat</t>
  </si>
  <si>
    <t>Inner 0.5mm ring around FAZ</t>
  </si>
  <si>
    <t>/Users/milameteor/Library/CloudStorage/OneDrive-UWA/M4 Backup/dev/octava/source/5000/regional_tort_validation/5000_Foveal_rings_R03_Outer_05mm_ring_tort_validation.mat</t>
  </si>
  <si>
    <t>Outer 0.5mm ring</t>
  </si>
  <si>
    <t>/Users/milameteor/Library/CloudStorage/OneDrive-UWA/M4 Backup/dev/octava/source/5000/regional_tort_validation/5000_ONH_R01_NS_tort_validation.mat</t>
  </si>
  <si>
    <t>ONH</t>
  </si>
  <si>
    <t>NS</t>
  </si>
  <si>
    <t>/Users/milameteor/Library/CloudStorage/OneDrive-UWA/M4 Backup/dev/octava/source/5000/regional_tort_validation/5000_ONH_R02_SN_tort_validation.mat</t>
  </si>
  <si>
    <t>SN</t>
  </si>
  <si>
    <t>/Users/milameteor/Library/CloudStorage/OneDrive-UWA/M4 Backup/dev/octava/source/5000/regional_tort_validation/5000_ONH_R03_ST_tort_validation.mat</t>
  </si>
  <si>
    <t>ST</t>
  </si>
  <si>
    <t>/Users/milameteor/Library/CloudStorage/OneDrive-UWA/M4 Backup/dev/octava/source/5000/regional_tort_validation/5000_ONH_R04_TS_tort_validation.mat</t>
  </si>
  <si>
    <t>TS</t>
  </si>
  <si>
    <t>/Users/milameteor/Library/CloudStorage/OneDrive-UWA/M4 Backup/dev/octava/source/5000/regional_tort_validation/5000_ONH_R05_TI_tort_validation.mat</t>
  </si>
  <si>
    <t>TI</t>
  </si>
  <si>
    <t>/Users/milameteor/Library/CloudStorage/OneDrive-UWA/M4 Backup/dev/octava/source/5000/regional_tort_validation/5000_ONH_R06_IT_tort_validation.mat</t>
  </si>
  <si>
    <t>IT</t>
  </si>
  <si>
    <t>/Users/milameteor/Library/CloudStorage/OneDrive-UWA/M4 Backup/dev/octava/source/5000/regional_tort_validation/5000_ONH_R07_IN_tort_validation.mat</t>
  </si>
  <si>
    <t>IN</t>
  </si>
  <si>
    <t>/Users/milameteor/Library/CloudStorage/OneDrive-UWA/M4 Backup/dev/octava/source/5000/regional_tort_validation/5000_ONH_R08_NI_tort_validation.mat</t>
  </si>
  <si>
    <t>NI</t>
  </si>
  <si>
    <t>/Users/milameteor/Library/CloudStorage/OneDrive-UWA/M4 Backup/dev/octava/source/5000/regional_tort_validation/5000_ONH_R09_S_hemi_tort_validation.mat</t>
  </si>
  <si>
    <t>S_hemi</t>
  </si>
  <si>
    <t>/Users/milameteor/Library/CloudStorage/OneDrive-UWA/M4 Backup/dev/octava/source/5000/regional_tort_validation/5000_ONH_R10_I_Hemi_tort_validation.mat</t>
  </si>
  <si>
    <t>I_Hemi</t>
  </si>
  <si>
    <t>/Users/milameteor/Library/CloudStorage/OneDrive-UWA/M4 Backup/dev/octava/source/5000/regional_tort_validation/5000_ONH_R11_S_tort_validation.mat</t>
  </si>
  <si>
    <t>S</t>
  </si>
  <si>
    <t>/Users/milameteor/Library/CloudStorage/OneDrive-UWA/M4 Backup/dev/octava/source/5000/regional_tort_validation/5000_ONH_R12_I_tort_validation.mat</t>
  </si>
  <si>
    <t>I</t>
  </si>
  <si>
    <t>/Users/milameteor/Library/CloudStorage/OneDrive-UWA/M4 Backup/dev/octava/source/5000/regional_tort_validation/5000_ONH_R13_T_tort_validation.mat</t>
  </si>
  <si>
    <t>T</t>
  </si>
  <si>
    <t>/Users/milameteor/Library/CloudStorage/OneDrive-UWA/M4 Backup/dev/octava/source/5000/regional_tort_validation/5000_ONH_R14_N_tort_validation.mat</t>
  </si>
  <si>
    <t>N</t>
  </si>
  <si>
    <t>/Users/milameteor/Library/CloudStorage/OneDrive-UWA/M4 Backup/dev/octava/source/5000/regional_tort_validation/5000_ONH_R15_PP_tort_validation.mat</t>
  </si>
  <si>
    <t>PP</t>
  </si>
  <si>
    <t>/Users/milameteor/Library/CloudStorage/OneDrive-UWA/M4 Backup/dev/octava/source/5000/regional_tort_validation/5000_Square_grid_R01_Superotemporal_tort_validation.mat</t>
  </si>
  <si>
    <t>Square grid</t>
  </si>
  <si>
    <t>Supero-temporal</t>
  </si>
  <si>
    <t>/Users/milameteor/Library/CloudStorage/OneDrive-UWA/M4 Backup/dev/octava/source/5000/regional_tort_validation/5000_Square_grid_R02_Superior_tort_validation.mat</t>
  </si>
  <si>
    <t>Superior</t>
  </si>
  <si>
    <t>/Users/milameteor/Library/CloudStorage/OneDrive-UWA/M4 Backup/dev/octava/source/5000/regional_tort_validation/5000_Square_grid_R03_Superonasal_tort_validation.mat</t>
  </si>
  <si>
    <t>Supero-nasal</t>
  </si>
  <si>
    <t>/Users/milameteor/Library/CloudStorage/OneDrive-UWA/M4 Backup/dev/octava/source/5000/regional_tort_validation/5000_Square_grid_R04_Temporal_tort_validation.mat</t>
  </si>
  <si>
    <t>Temporal</t>
  </si>
  <si>
    <t>/Users/milameteor/Library/CloudStorage/OneDrive-UWA/M4 Backup/dev/octava/source/5000/regional_tort_validation/5000_Square_grid_R05_Central_tort_validation.mat</t>
  </si>
  <si>
    <t>Central</t>
  </si>
  <si>
    <t>/Users/milameteor/Library/CloudStorage/OneDrive-UWA/M4 Backup/dev/octava/source/5000/regional_tort_validation/5000_Square_grid_R06_Nasal_tort_validation.mat</t>
  </si>
  <si>
    <t>Nasal</t>
  </si>
  <si>
    <t>/Users/milameteor/Library/CloudStorage/OneDrive-UWA/M4 Backup/dev/octava/source/5000/regional_tort_validation/5000_Square_grid_R07_Inferotemporal_tort_validation.mat</t>
  </si>
  <si>
    <t>Infero-temporal</t>
  </si>
  <si>
    <t>/Users/milameteor/Library/CloudStorage/OneDrive-UWA/M4 Backup/dev/octava/source/5000/regional_tort_validation/5000_Square_grid_R08_Inferior_tort_validation.mat</t>
  </si>
  <si>
    <t>Inferior</t>
  </si>
  <si>
    <t>/Users/milameteor/Library/CloudStorage/OneDrive-UWA/M4 Backup/dev/octava/source/5000/regional_tort_validation/5000_Square_grid_R09_Inferonasal_tort_validation.mat</t>
  </si>
  <si>
    <t>Infero-nasal</t>
  </si>
  <si>
    <t>/Users/milameteor/Library/CloudStorage/OneDrive-UWA/M4 Backup/dev/octava/source/5001/regional_tort_validation/5001_ETDRS_grid_R01_Foveal_circle_tort_validation.mat</t>
  </si>
  <si>
    <t>5001</t>
  </si>
  <si>
    <t>/Users/milameteor/Library/CloudStorage/OneDrive-UWA/M4 Backup/dev/octava/source/5001/regional_tort_validation/5001_ETDRS_grid_R02_Parafoveal_rim__tort_validation.mat</t>
  </si>
  <si>
    <t>/Users/milameteor/Library/CloudStorage/OneDrive-UWA/M4 Backup/dev/octava/source/5001/regional_tort_validation/5001_ETDRS_grid_R03_Superior_hemiparafoveal_rim_tort_validation.mat</t>
  </si>
  <si>
    <t>/Users/milameteor/Library/CloudStorage/OneDrive-UWA/M4 Backup/dev/octava/source/5001/regional_tort_validation/5001_ETDRS_grid_R04_Inferior_hemiparafoveal_rim_tort_validation.mat</t>
  </si>
  <si>
    <t>/Users/milameteor/Library/CloudStorage/OneDrive-UWA/M4 Backup/dev/octava/source/5001/regional_tort_validation/5001_ETDRS_grid_R05_Nasal_parafoveal_rim_tort_validation.mat</t>
  </si>
  <si>
    <t>/Users/milameteor/Library/CloudStorage/OneDrive-UWA/M4 Backup/dev/octava/source/5001/regional_tort_validation/5001_ETDRS_grid_R06_Tempo_parafoveal_rim_tort_validation.mat</t>
  </si>
  <si>
    <t>/Users/milameteor/Library/CloudStorage/OneDrive-UWA/M4 Backup/dev/octava/source/5001/regional_tort_validation/5001_ETDRS_grid_R07_Superior_parafoveal_rim_tort_validation.mat</t>
  </si>
  <si>
    <t>/Users/milameteor/Library/CloudStorage/OneDrive-UWA/M4 Backup/dev/octava/source/5001/regional_tort_validation/5001_ETDRS_grid_R08_Inferior_parafoveal_rim_tort_validation.mat</t>
  </si>
  <si>
    <t>/Users/milameteor/Library/CloudStorage/OneDrive-UWA/M4 Backup/dev/octava/source/5001/regional_tort_validation/5001_Extended_R01_Super_nasal_tort_validation.mat</t>
  </si>
  <si>
    <t>/Users/milameteor/Library/CloudStorage/OneDrive-UWA/M4 Backup/dev/octava/source/5001/regional_tort_validation/5001_Extended_R02_Nasal_superior_tort_validation.mat</t>
  </si>
  <si>
    <t>/Users/milameteor/Library/CloudStorage/OneDrive-UWA/M4 Backup/dev/octava/source/5001/regional_tort_validation/5001_Extended_R03_Temporal_superior_tort_validation.mat</t>
  </si>
  <si>
    <t>/Users/milameteor/Library/CloudStorage/OneDrive-UWA/M4 Backup/dev/octava/source/5001/regional_tort_validation/5001_Extended_R04_Super_temporal_tort_validation.mat</t>
  </si>
  <si>
    <t>/Users/milameteor/Library/CloudStorage/OneDrive-UWA/M4 Backup/dev/octava/source/5001/regional_tort_validation/5001_Extended_R05_Inferio_temporal_tort_validation.mat</t>
  </si>
  <si>
    <t>/Users/milameteor/Library/CloudStorage/OneDrive-UWA/M4 Backup/dev/octava/source/5001/regional_tort_validation/5001_Extended_R06_Temporal_inferior_tort_validation.mat</t>
  </si>
  <si>
    <t>/Users/milameteor/Library/CloudStorage/OneDrive-UWA/M4 Backup/dev/octava/source/5001/regional_tort_validation/5001_Extended_R07_Nasal_inferior_tort_validation.mat</t>
  </si>
  <si>
    <t>/Users/milameteor/Library/CloudStorage/OneDrive-UWA/M4 Backup/dev/octava/source/5001/regional_tort_validation/5001_Extended_R08_Inferio_nasal_tort_validation.mat</t>
  </si>
  <si>
    <t>/Users/milameteor/Library/CloudStorage/OneDrive-UWA/M4 Backup/dev/octava/source/5001/regional_tort_validation/5001_Extended_R09_Nasal_wedge_tort_validation.mat</t>
  </si>
  <si>
    <t>/Users/milameteor/Library/CloudStorage/OneDrive-UWA/M4 Backup/dev/octava/source/5001/regional_tort_validation/5001_Extended_R10_Temporal_wedge_tort_validation.mat</t>
  </si>
  <si>
    <t>/Users/milameteor/Library/CloudStorage/OneDrive-UWA/M4 Backup/dev/octava/source/5001/regional_tort_validation/5001_Foveal_rings_R01_FAZ_circle_tort_validation.mat</t>
  </si>
  <si>
    <t>/Users/milameteor/Library/CloudStorage/OneDrive-UWA/M4 Backup/dev/octava/source/5001/regional_tort_validation/5001_Foveal_rings_R02_Inner_05mm_ring_around_FAZ_tort_validation.mat</t>
  </si>
  <si>
    <t>/Users/milameteor/Library/CloudStorage/OneDrive-UWA/M4 Backup/dev/octava/source/5001/regional_tort_validation/5001_Foveal_rings_R03_Outer_05mm_ring_tort_validation.mat</t>
  </si>
  <si>
    <t>/Users/milameteor/Library/CloudStorage/OneDrive-UWA/M4 Backup/dev/octava/source/5001/regional_tort_validation/5001_ONH_R01_NS_tort_validation.mat</t>
  </si>
  <si>
    <t>/Users/milameteor/Library/CloudStorage/OneDrive-UWA/M4 Backup/dev/octava/source/5001/regional_tort_validation/5001_ONH_R02_SN_tort_validation.mat</t>
  </si>
  <si>
    <t>/Users/milameteor/Library/CloudStorage/OneDrive-UWA/M4 Backup/dev/octava/source/5001/regional_tort_validation/5001_ONH_R03_ST_tort_validation.mat</t>
  </si>
  <si>
    <t>/Users/milameteor/Library/CloudStorage/OneDrive-UWA/M4 Backup/dev/octava/source/5001/regional_tort_validation/5001_ONH_R04_TS_tort_validation.mat</t>
  </si>
  <si>
    <t>/Users/milameteor/Library/CloudStorage/OneDrive-UWA/M4 Backup/dev/octava/source/5001/regional_tort_validation/5001_ONH_R05_TI_tort_validation.mat</t>
  </si>
  <si>
    <t>/Users/milameteor/Library/CloudStorage/OneDrive-UWA/M4 Backup/dev/octava/source/5001/regional_tort_validation/5001_ONH_R06_IT_tort_validation.mat</t>
  </si>
  <si>
    <t>/Users/milameteor/Library/CloudStorage/OneDrive-UWA/M4 Backup/dev/octava/source/5001/regional_tort_validation/5001_ONH_R07_IN_tort_validation.mat</t>
  </si>
  <si>
    <t>/Users/milameteor/Library/CloudStorage/OneDrive-UWA/M4 Backup/dev/octava/source/5001/regional_tort_validation/5001_ONH_R08_NI_tort_validation.mat</t>
  </si>
  <si>
    <t>/Users/milameteor/Library/CloudStorage/OneDrive-UWA/M4 Backup/dev/octava/source/5001/regional_tort_validation/5001_ONH_R09_S_hemi_tort_validation.mat</t>
  </si>
  <si>
    <t>/Users/milameteor/Library/CloudStorage/OneDrive-UWA/M4 Backup/dev/octava/source/5001/regional_tort_validation/5001_ONH_R10_I_Hemi_tort_validation.mat</t>
  </si>
  <si>
    <t>/Users/milameteor/Library/CloudStorage/OneDrive-UWA/M4 Backup/dev/octava/source/5001/regional_tort_validation/5001_ONH_R11_S_tort_validation.mat</t>
  </si>
  <si>
    <t>/Users/milameteor/Library/CloudStorage/OneDrive-UWA/M4 Backup/dev/octava/source/5001/regional_tort_validation/5001_ONH_R12_I_tort_validation.mat</t>
  </si>
  <si>
    <t>/Users/milameteor/Library/CloudStorage/OneDrive-UWA/M4 Backup/dev/octava/source/5001/regional_tort_validation/5001_ONH_R13_T_tort_validation.mat</t>
  </si>
  <si>
    <t>/Users/milameteor/Library/CloudStorage/OneDrive-UWA/M4 Backup/dev/octava/source/5001/regional_tort_validation/5001_ONH_R14_N_tort_validation.mat</t>
  </si>
  <si>
    <t>/Users/milameteor/Library/CloudStorage/OneDrive-UWA/M4 Backup/dev/octava/source/5001/regional_tort_validation/5001_ONH_R15_PP_tort_validation.mat</t>
  </si>
  <si>
    <t>/Users/milameteor/Library/CloudStorage/OneDrive-UWA/M4 Backup/dev/octava/source/5001/regional_tort_validation/5001_Square_grid_R01_Superotemporal_tort_validation.mat</t>
  </si>
  <si>
    <t>/Users/milameteor/Library/CloudStorage/OneDrive-UWA/M4 Backup/dev/octava/source/5001/regional_tort_validation/5001_Square_grid_R02_Superior_tort_validation.mat</t>
  </si>
  <si>
    <t>/Users/milameteor/Library/CloudStorage/OneDrive-UWA/M4 Backup/dev/octava/source/5001/regional_tort_validation/5001_Square_grid_R03_Superonasal_tort_validation.mat</t>
  </si>
  <si>
    <t>/Users/milameteor/Library/CloudStorage/OneDrive-UWA/M4 Backup/dev/octava/source/5001/regional_tort_validation/5001_Square_grid_R04_Temporal_tort_validation.mat</t>
  </si>
  <si>
    <t>/Users/milameteor/Library/CloudStorage/OneDrive-UWA/M4 Backup/dev/octava/source/5001/regional_tort_validation/5001_Square_grid_R05_Central_tort_validation.mat</t>
  </si>
  <si>
    <t>/Users/milameteor/Library/CloudStorage/OneDrive-UWA/M4 Backup/dev/octava/source/5001/regional_tort_validation/5001_Square_grid_R06_Nasal_tort_validation.mat</t>
  </si>
  <si>
    <t>/Users/milameteor/Library/CloudStorage/OneDrive-UWA/M4 Backup/dev/octava/source/5001/regional_tort_validation/5001_Square_grid_R07_Inferotemporal_tort_validation.mat</t>
  </si>
  <si>
    <t>/Users/milameteor/Library/CloudStorage/OneDrive-UWA/M4 Backup/dev/octava/source/5001/regional_tort_validation/5001_Square_grid_R08_Inferior_tort_validation.mat</t>
  </si>
  <si>
    <t>/Users/milameteor/Library/CloudStorage/OneDrive-UWA/M4 Backup/dev/octava/source/5001/regional_tort_validation/5001_Square_grid_R09_Inferonasal_tort_validation.mat</t>
  </si>
  <si>
    <t>/Users/milameteor/Library/CloudStorage/OneDrive-UWA/M4 Backup/dev/octava/source/5002/regional_tort_validation/5002_ETDRS_grid_R01_Foveal_circle_tort_validation.mat</t>
  </si>
  <si>
    <t>5002</t>
  </si>
  <si>
    <t>/Users/milameteor/Library/CloudStorage/OneDrive-UWA/M4 Backup/dev/octava/source/5002/regional_tort_validation/5002_ETDRS_grid_R02_Parafoveal_rim__tort_validation.mat</t>
  </si>
  <si>
    <t>/Users/milameteor/Library/CloudStorage/OneDrive-UWA/M4 Backup/dev/octava/source/5002/regional_tort_validation/5002_ETDRS_grid_R03_Superior_hemiparafoveal_rim_tort_validation.mat</t>
  </si>
  <si>
    <t>/Users/milameteor/Library/CloudStorage/OneDrive-UWA/M4 Backup/dev/octava/source/5002/regional_tort_validation/5002_ETDRS_grid_R04_Inferior_hemiparafoveal_rim_tort_validation.mat</t>
  </si>
  <si>
    <t>/Users/milameteor/Library/CloudStorage/OneDrive-UWA/M4 Backup/dev/octava/source/5002/regional_tort_validation/5002_ETDRS_grid_R05_Nasal_parafoveal_rim_tort_validation.mat</t>
  </si>
  <si>
    <t>/Users/milameteor/Library/CloudStorage/OneDrive-UWA/M4 Backup/dev/octava/source/5002/regional_tort_validation/5002_ETDRS_grid_R06_Tempo_parafoveal_rim_tort_validation.mat</t>
  </si>
  <si>
    <t>/Users/milameteor/Library/CloudStorage/OneDrive-UWA/M4 Backup/dev/octava/source/5002/regional_tort_validation/5002_ETDRS_grid_R07_Superior_parafoveal_rim_tort_validation.mat</t>
  </si>
  <si>
    <t>/Users/milameteor/Library/CloudStorage/OneDrive-UWA/M4 Backup/dev/octava/source/5002/regional_tort_validation/5002_ETDRS_grid_R08_Inferior_parafoveal_rim_tort_validation.mat</t>
  </si>
  <si>
    <t>/Users/milameteor/Library/CloudStorage/OneDrive-UWA/M4 Backup/dev/octava/source/5002/regional_tort_validation/5002_Extended_R01_Super_nasal_tort_validation.mat</t>
  </si>
  <si>
    <t>/Users/milameteor/Library/CloudStorage/OneDrive-UWA/M4 Backup/dev/octava/source/5002/regional_tort_validation/5002_Extended_R02_Nasal_superior_tort_validation.mat</t>
  </si>
  <si>
    <t>/Users/milameteor/Library/CloudStorage/OneDrive-UWA/M4 Backup/dev/octava/source/5002/regional_tort_validation/5002_Extended_R03_Temporal_superior_tort_validation.mat</t>
  </si>
  <si>
    <t>/Users/milameteor/Library/CloudStorage/OneDrive-UWA/M4 Backup/dev/octava/source/5002/regional_tort_validation/5002_Extended_R04_Super_temporal_tort_validation.mat</t>
  </si>
  <si>
    <t>/Users/milameteor/Library/CloudStorage/OneDrive-UWA/M4 Backup/dev/octava/source/5002/regional_tort_validation/5002_Extended_R05_Inferio_temporal_tort_validation.mat</t>
  </si>
  <si>
    <t>/Users/milameteor/Library/CloudStorage/OneDrive-UWA/M4 Backup/dev/octava/source/5002/regional_tort_validation/5002_Extended_R06_Temporal_inferior_tort_validation.mat</t>
  </si>
  <si>
    <t>/Users/milameteor/Library/CloudStorage/OneDrive-UWA/M4 Backup/dev/octava/source/5002/regional_tort_validation/5002_Extended_R07_Nasal_inferior_tort_validation.mat</t>
  </si>
  <si>
    <t>/Users/milameteor/Library/CloudStorage/OneDrive-UWA/M4 Backup/dev/octava/source/5002/regional_tort_validation/5002_Extended_R08_Inferio_nasal_tort_validation.mat</t>
  </si>
  <si>
    <t>/Users/milameteor/Library/CloudStorage/OneDrive-UWA/M4 Backup/dev/octava/source/5002/regional_tort_validation/5002_Extended_R09_Nasal_wedge_tort_validation.mat</t>
  </si>
  <si>
    <t>/Users/milameteor/Library/CloudStorage/OneDrive-UWA/M4 Backup/dev/octava/source/5002/regional_tort_validation/5002_Extended_R10_Temporal_wedge_tort_validation.mat</t>
  </si>
  <si>
    <t>/Users/milameteor/Library/CloudStorage/OneDrive-UWA/M4 Backup/dev/octava/source/5002/regional_tort_validation/5002_Foveal_rings_R01_FAZ_circle_tort_validation.mat</t>
  </si>
  <si>
    <t>/Users/milameteor/Library/CloudStorage/OneDrive-UWA/M4 Backup/dev/octava/source/5002/regional_tort_validation/5002_Foveal_rings_R02_Inner_05mm_ring_around_FAZ_tort_validation.mat</t>
  </si>
  <si>
    <t>/Users/milameteor/Library/CloudStorage/OneDrive-UWA/M4 Backup/dev/octava/source/5002/regional_tort_validation/5002_Foveal_rings_R03_Outer_05mm_ring_tort_validation.mat</t>
  </si>
  <si>
    <t>/Users/milameteor/Library/CloudStorage/OneDrive-UWA/M4 Backup/dev/octava/source/5002/regional_tort_validation/5002_ONH_R01_NS_tort_validation.mat</t>
  </si>
  <si>
    <t>/Users/milameteor/Library/CloudStorage/OneDrive-UWA/M4 Backup/dev/octava/source/5002/regional_tort_validation/5002_ONH_R02_SN_tort_validation.mat</t>
  </si>
  <si>
    <t>/Users/milameteor/Library/CloudStorage/OneDrive-UWA/M4 Backup/dev/octava/source/5002/regional_tort_validation/5002_ONH_R03_ST_tort_validation.mat</t>
  </si>
  <si>
    <t>/Users/milameteor/Library/CloudStorage/OneDrive-UWA/M4 Backup/dev/octava/source/5002/regional_tort_validation/5002_ONH_R04_TS_tort_validation.mat</t>
  </si>
  <si>
    <t>/Users/milameteor/Library/CloudStorage/OneDrive-UWA/M4 Backup/dev/octava/source/5002/regional_tort_validation/5002_ONH_R05_TI_tort_validation.mat</t>
  </si>
  <si>
    <t>/Users/milameteor/Library/CloudStorage/OneDrive-UWA/M4 Backup/dev/octava/source/5002/regional_tort_validation/5002_ONH_R06_IT_tort_validation.mat</t>
  </si>
  <si>
    <t>/Users/milameteor/Library/CloudStorage/OneDrive-UWA/M4 Backup/dev/octava/source/5002/regional_tort_validation/5002_ONH_R07_IN_tort_validation.mat</t>
  </si>
  <si>
    <t>/Users/milameteor/Library/CloudStorage/OneDrive-UWA/M4 Backup/dev/octava/source/5002/regional_tort_validation/5002_ONH_R08_NI_tort_validation.mat</t>
  </si>
  <si>
    <t>/Users/milameteor/Library/CloudStorage/OneDrive-UWA/M4 Backup/dev/octava/source/5002/regional_tort_validation/5002_ONH_R09_S_hemi_tort_validation.mat</t>
  </si>
  <si>
    <t>/Users/milameteor/Library/CloudStorage/OneDrive-UWA/M4 Backup/dev/octava/source/5002/regional_tort_validation/5002_ONH_R10_I_Hemi_tort_validation.mat</t>
  </si>
  <si>
    <t>/Users/milameteor/Library/CloudStorage/OneDrive-UWA/M4 Backup/dev/octava/source/5002/regional_tort_validation/5002_ONH_R11_S_tort_validation.mat</t>
  </si>
  <si>
    <t>/Users/milameteor/Library/CloudStorage/OneDrive-UWA/M4 Backup/dev/octava/source/5002/regional_tort_validation/5002_ONH_R12_I_tort_validation.mat</t>
  </si>
  <si>
    <t>/Users/milameteor/Library/CloudStorage/OneDrive-UWA/M4 Backup/dev/octava/source/5002/regional_tort_validation/5002_ONH_R13_T_tort_validation.mat</t>
  </si>
  <si>
    <t>/Users/milameteor/Library/CloudStorage/OneDrive-UWA/M4 Backup/dev/octava/source/5002/regional_tort_validation/5002_ONH_R14_N_tort_validation.mat</t>
  </si>
  <si>
    <t>/Users/milameteor/Library/CloudStorage/OneDrive-UWA/M4 Backup/dev/octava/source/5002/regional_tort_validation/5002_ONH_R15_PP_tort_validation.mat</t>
  </si>
  <si>
    <t>/Users/milameteor/Library/CloudStorage/OneDrive-UWA/M4 Backup/dev/octava/source/5002/regional_tort_validation/5002_Square_grid_R01_Superotemporal_tort_validation.mat</t>
  </si>
  <si>
    <t>/Users/milameteor/Library/CloudStorage/OneDrive-UWA/M4 Backup/dev/octava/source/5002/regional_tort_validation/5002_Square_grid_R02_Superior_tort_validation.mat</t>
  </si>
  <si>
    <t>/Users/milameteor/Library/CloudStorage/OneDrive-UWA/M4 Backup/dev/octava/source/5002/regional_tort_validation/5002_Square_grid_R03_Superonasal_tort_validation.mat</t>
  </si>
  <si>
    <t>/Users/milameteor/Library/CloudStorage/OneDrive-UWA/M4 Backup/dev/octava/source/5002/regional_tort_validation/5002_Square_grid_R04_Temporal_tort_validation.mat</t>
  </si>
  <si>
    <t>/Users/milameteor/Library/CloudStorage/OneDrive-UWA/M4 Backup/dev/octava/source/5002/regional_tort_validation/5002_Square_grid_R05_Central_tort_validation.mat</t>
  </si>
  <si>
    <t>/Users/milameteor/Library/CloudStorage/OneDrive-UWA/M4 Backup/dev/octava/source/5002/regional_tort_validation/5002_Square_grid_R06_Nasal_tort_validation.mat</t>
  </si>
  <si>
    <t>/Users/milameteor/Library/CloudStorage/OneDrive-UWA/M4 Backup/dev/octava/source/5002/regional_tort_validation/5002_Square_grid_R07_Inferotemporal_tort_validation.mat</t>
  </si>
  <si>
    <t>/Users/milameteor/Library/CloudStorage/OneDrive-UWA/M4 Backup/dev/octava/source/5002/regional_tort_validation/5002_Square_grid_R08_Inferior_tort_validation.mat</t>
  </si>
  <si>
    <t>/Users/milameteor/Library/CloudStorage/OneDrive-UWA/M4 Backup/dev/octava/source/5002/regional_tort_validation/5002_Square_grid_R09_Inferonasal_tort_validation.mat</t>
  </si>
  <si>
    <t>RMSE pwaoc mean</t>
  </si>
  <si>
    <t>RMSE pwaoc std</t>
  </si>
  <si>
    <t>RMSE soam mean</t>
  </si>
  <si>
    <t>RMSE soam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</si>
</sst>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2" xfId="1" applyNumberFormat="1" applyFont="1" applyFill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"/>
  <sheetViews>
    <sheetView tabSelected="1" topLeftCell="B12" workbookViewId="0">
      <selection activeCell="P140" sqref="P140"/>
    </sheetView>
  </sheetViews>
  <sheetFormatPr baseColWidth="10" defaultColWidth="8.83203125" defaultRowHeight="15" x14ac:dyDescent="0.2"/>
  <cols>
    <col min="6" max="6" width="9" bestFit="1" customWidth="1"/>
    <col min="7" max="7" width="13.5" bestFit="1" customWidth="1"/>
    <col min="8" max="8" width="12.33203125" bestFit="1" customWidth="1"/>
    <col min="9" max="11" width="12.1640625" bestFit="1" customWidth="1"/>
    <col min="12" max="12" width="18.6640625" bestFit="1" customWidth="1"/>
    <col min="13" max="13" width="16.6640625" bestFit="1" customWidth="1"/>
    <col min="14" max="14" width="17.5" bestFit="1" customWidth="1"/>
    <col min="15" max="15" width="15.33203125" bestFit="1" customWidth="1"/>
    <col min="16" max="16" width="15.5" style="3" bestFit="1" customWidth="1"/>
    <col min="17" max="17" width="13.5" style="3" bestFit="1" customWidth="1"/>
    <col min="18" max="18" width="14.5" style="3" bestFit="1" customWidth="1"/>
    <col min="19" max="19" width="12.5" style="3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203</v>
      </c>
      <c r="Q1" s="2" t="s">
        <v>204</v>
      </c>
      <c r="R1" s="2" t="s">
        <v>205</v>
      </c>
      <c r="S1" s="2" t="s">
        <v>206</v>
      </c>
    </row>
    <row r="2" spans="1:19" x14ac:dyDescent="0.2">
      <c r="A2" t="s">
        <v>15</v>
      </c>
      <c r="B2" t="s">
        <v>16</v>
      </c>
      <c r="C2" t="s">
        <v>17</v>
      </c>
      <c r="D2">
        <v>1</v>
      </c>
      <c r="E2" t="s">
        <v>18</v>
      </c>
      <c r="F2">
        <v>123</v>
      </c>
      <c r="G2">
        <v>123</v>
      </c>
      <c r="H2">
        <v>1.2761596147694321</v>
      </c>
      <c r="I2">
        <v>0.42866412208967969</v>
      </c>
      <c r="J2">
        <v>94.332010212589083</v>
      </c>
      <c r="K2">
        <v>36.286911967320748</v>
      </c>
      <c r="L2">
        <v>1.276822967194952</v>
      </c>
      <c r="M2">
        <v>0.45579685567759559</v>
      </c>
      <c r="N2">
        <v>94.332010212589068</v>
      </c>
      <c r="O2">
        <v>36.435325314601499</v>
      </c>
      <c r="P2" s="3">
        <f>ABS(H2-L2)/L2</f>
        <v>5.1953359436921409E-4</v>
      </c>
      <c r="Q2" s="3">
        <f t="shared" ref="Q2:S17" si="0">ABS(I2-M2)/M2</f>
        <v>5.9528128046385721E-2</v>
      </c>
      <c r="R2" s="3">
        <f t="shared" si="0"/>
        <v>1.5064721596811148E-16</v>
      </c>
      <c r="S2" s="3">
        <f t="shared" si="0"/>
        <v>4.0733366862865522E-3</v>
      </c>
    </row>
    <row r="3" spans="1:19" x14ac:dyDescent="0.2">
      <c r="A3" t="s">
        <v>19</v>
      </c>
      <c r="B3" t="s">
        <v>16</v>
      </c>
      <c r="C3" t="s">
        <v>17</v>
      </c>
      <c r="D3">
        <v>2</v>
      </c>
      <c r="E3" t="s">
        <v>20</v>
      </c>
      <c r="F3">
        <v>2039</v>
      </c>
      <c r="G3">
        <v>2035</v>
      </c>
      <c r="H3">
        <v>1.245547894951776</v>
      </c>
      <c r="I3">
        <v>0.45061634493537062</v>
      </c>
      <c r="J3">
        <v>91.560555380181299</v>
      </c>
      <c r="K3">
        <v>36.762602761042807</v>
      </c>
      <c r="L3">
        <v>1.2438688466862109</v>
      </c>
      <c r="M3">
        <v>0.44545478160508972</v>
      </c>
      <c r="N3">
        <v>91.380936831176001</v>
      </c>
      <c r="O3">
        <v>36.958372430213082</v>
      </c>
      <c r="P3" s="3">
        <f t="shared" ref="P3:P66" si="1">ABS(H3-L3)/L3</f>
        <v>1.3498595692288911E-3</v>
      </c>
      <c r="Q3" s="3">
        <f t="shared" si="0"/>
        <v>1.1587176843589904E-2</v>
      </c>
      <c r="R3" s="3">
        <f t="shared" si="0"/>
        <v>1.965601965070007E-3</v>
      </c>
      <c r="S3" s="3">
        <f t="shared" si="0"/>
        <v>5.2970316682624096E-3</v>
      </c>
    </row>
    <row r="4" spans="1:19" x14ac:dyDescent="0.2">
      <c r="A4" t="s">
        <v>21</v>
      </c>
      <c r="B4" t="s">
        <v>16</v>
      </c>
      <c r="C4" t="s">
        <v>17</v>
      </c>
      <c r="D4">
        <v>3</v>
      </c>
      <c r="E4" t="s">
        <v>22</v>
      </c>
      <c r="F4">
        <v>1020</v>
      </c>
      <c r="G4">
        <v>1018</v>
      </c>
      <c r="H4">
        <v>1.242870381395546</v>
      </c>
      <c r="I4">
        <v>0.45455529302227088</v>
      </c>
      <c r="J4">
        <v>92.396328672575919</v>
      </c>
      <c r="K4">
        <v>37.565815686116153</v>
      </c>
      <c r="L4">
        <v>1.2371851786778489</v>
      </c>
      <c r="M4">
        <v>0.43638045759550242</v>
      </c>
      <c r="N4">
        <v>92.215159400668639</v>
      </c>
      <c r="O4">
        <v>37.769413268795837</v>
      </c>
      <c r="P4" s="3">
        <f t="shared" si="1"/>
        <v>4.5952722483894107E-3</v>
      </c>
      <c r="Q4" s="3">
        <f t="shared" si="0"/>
        <v>4.1649059004414443E-2</v>
      </c>
      <c r="R4" s="3">
        <f t="shared" si="0"/>
        <v>1.9646365422425964E-3</v>
      </c>
      <c r="S4" s="3">
        <f t="shared" si="0"/>
        <v>5.3905413152894183E-3</v>
      </c>
    </row>
    <row r="5" spans="1:19" x14ac:dyDescent="0.2">
      <c r="A5" t="s">
        <v>23</v>
      </c>
      <c r="B5" t="s">
        <v>16</v>
      </c>
      <c r="C5" t="s">
        <v>17</v>
      </c>
      <c r="D5">
        <v>4</v>
      </c>
      <c r="E5" t="s">
        <v>24</v>
      </c>
      <c r="F5">
        <v>1015</v>
      </c>
      <c r="G5">
        <v>1013</v>
      </c>
      <c r="H5">
        <v>1.251826552667876</v>
      </c>
      <c r="I5">
        <v>0.44515922409986919</v>
      </c>
      <c r="J5">
        <v>91.605233376890737</v>
      </c>
      <c r="K5">
        <v>35.983173861052627</v>
      </c>
      <c r="L5">
        <v>1.257574053994112</v>
      </c>
      <c r="M5">
        <v>0.45374664773296169</v>
      </c>
      <c r="N5">
        <v>91.424730454003267</v>
      </c>
      <c r="O5">
        <v>36.194344789513018</v>
      </c>
      <c r="P5" s="3">
        <f t="shared" si="1"/>
        <v>4.5703084506090929E-3</v>
      </c>
      <c r="Q5" s="3">
        <f t="shared" si="0"/>
        <v>1.8925591353671806E-2</v>
      </c>
      <c r="R5" s="3">
        <f t="shared" si="0"/>
        <v>1.9743336621406071E-3</v>
      </c>
      <c r="S5" s="3">
        <f t="shared" si="0"/>
        <v>5.8343625140459864E-3</v>
      </c>
    </row>
    <row r="6" spans="1:19" x14ac:dyDescent="0.2">
      <c r="A6" t="s">
        <v>25</v>
      </c>
      <c r="B6" t="s">
        <v>16</v>
      </c>
      <c r="C6" t="s">
        <v>17</v>
      </c>
      <c r="D6">
        <v>5</v>
      </c>
      <c r="E6" t="s">
        <v>26</v>
      </c>
      <c r="F6">
        <v>728</v>
      </c>
      <c r="G6">
        <v>726</v>
      </c>
      <c r="H6">
        <v>1.22431295376405</v>
      </c>
      <c r="I6">
        <v>0.3989265002571537</v>
      </c>
      <c r="J6">
        <v>88.7647955361832</v>
      </c>
      <c r="K6">
        <v>37.238038005715488</v>
      </c>
      <c r="L6">
        <v>1.220978849011765</v>
      </c>
      <c r="M6">
        <v>0.39174626601843859</v>
      </c>
      <c r="N6">
        <v>88.520936207772536</v>
      </c>
      <c r="O6">
        <v>37.501739090428842</v>
      </c>
      <c r="P6" s="3">
        <f t="shared" si="1"/>
        <v>2.7306818254743495E-3</v>
      </c>
      <c r="Q6" s="3">
        <f t="shared" si="0"/>
        <v>1.8328787946576507E-2</v>
      </c>
      <c r="R6" s="3">
        <f t="shared" si="0"/>
        <v>2.7548209368040161E-3</v>
      </c>
      <c r="S6" s="3">
        <f t="shared" si="0"/>
        <v>7.031702825233921E-3</v>
      </c>
    </row>
    <row r="7" spans="1:19" x14ac:dyDescent="0.2">
      <c r="A7" t="s">
        <v>27</v>
      </c>
      <c r="B7" t="s">
        <v>16</v>
      </c>
      <c r="C7" t="s">
        <v>17</v>
      </c>
      <c r="D7">
        <v>6</v>
      </c>
      <c r="E7" t="s">
        <v>28</v>
      </c>
      <c r="F7">
        <v>629</v>
      </c>
      <c r="G7">
        <v>629</v>
      </c>
      <c r="H7">
        <v>1.2767246595085231</v>
      </c>
      <c r="I7">
        <v>0.50874542746845475</v>
      </c>
      <c r="J7">
        <v>92.441491195998523</v>
      </c>
      <c r="K7">
        <v>37.432212126994933</v>
      </c>
      <c r="L7">
        <v>1.264400568254447</v>
      </c>
      <c r="M7">
        <v>0.48216930434108851</v>
      </c>
      <c r="N7">
        <v>92.441491195998822</v>
      </c>
      <c r="O7">
        <v>37.462002988959028</v>
      </c>
      <c r="P7" s="3">
        <f t="shared" si="1"/>
        <v>9.7469833243510415E-3</v>
      </c>
      <c r="Q7" s="3">
        <f t="shared" si="0"/>
        <v>5.5117824565136933E-2</v>
      </c>
      <c r="R7" s="3">
        <f t="shared" si="0"/>
        <v>3.2282900801167414E-15</v>
      </c>
      <c r="S7" s="3">
        <f t="shared" si="0"/>
        <v>7.9522875412921918E-4</v>
      </c>
    </row>
    <row r="8" spans="1:19" x14ac:dyDescent="0.2">
      <c r="A8" t="s">
        <v>29</v>
      </c>
      <c r="B8" t="s">
        <v>16</v>
      </c>
      <c r="C8" t="s">
        <v>17</v>
      </c>
      <c r="D8">
        <v>7</v>
      </c>
      <c r="E8" t="s">
        <v>30</v>
      </c>
      <c r="F8">
        <v>338</v>
      </c>
      <c r="G8">
        <v>336</v>
      </c>
      <c r="H8">
        <v>1.274005175879581</v>
      </c>
      <c r="I8">
        <v>0.50753291656630373</v>
      </c>
      <c r="J8">
        <v>93.985616376413162</v>
      </c>
      <c r="K8">
        <v>36.704431358467737</v>
      </c>
      <c r="L8">
        <v>1.2721677239757969</v>
      </c>
      <c r="M8">
        <v>0.52429575247522398</v>
      </c>
      <c r="N8">
        <v>93.429488468845364</v>
      </c>
      <c r="O8">
        <v>37.35412341458219</v>
      </c>
      <c r="P8" s="3">
        <f t="shared" si="1"/>
        <v>1.4443472107919908E-3</v>
      </c>
      <c r="Q8" s="3">
        <f t="shared" si="0"/>
        <v>3.1972099391959864E-2</v>
      </c>
      <c r="R8" s="3">
        <f t="shared" si="0"/>
        <v>5.9523809525430828E-3</v>
      </c>
      <c r="S8" s="3">
        <f t="shared" si="0"/>
        <v>1.7392780146483874E-2</v>
      </c>
    </row>
    <row r="9" spans="1:19" x14ac:dyDescent="0.2">
      <c r="A9" t="s">
        <v>31</v>
      </c>
      <c r="B9" t="s">
        <v>16</v>
      </c>
      <c r="C9" t="s">
        <v>17</v>
      </c>
      <c r="D9">
        <v>8</v>
      </c>
      <c r="E9" t="s">
        <v>32</v>
      </c>
      <c r="F9">
        <v>343</v>
      </c>
      <c r="G9">
        <v>343</v>
      </c>
      <c r="H9">
        <v>1.23784895699547</v>
      </c>
      <c r="I9">
        <v>0.44715202972607748</v>
      </c>
      <c r="J9">
        <v>93.187766455265916</v>
      </c>
      <c r="K9">
        <v>34.145905119176042</v>
      </c>
      <c r="L9">
        <v>1.253897900538995</v>
      </c>
      <c r="M9">
        <v>0.46966546894755568</v>
      </c>
      <c r="N9">
        <v>93.187766455272182</v>
      </c>
      <c r="O9">
        <v>34.195789594448122</v>
      </c>
      <c r="P9" s="3">
        <f t="shared" si="1"/>
        <v>1.2799242694820847E-2</v>
      </c>
      <c r="Q9" s="3">
        <f t="shared" si="0"/>
        <v>4.7935053160129415E-2</v>
      </c>
      <c r="R9" s="3">
        <f t="shared" si="0"/>
        <v>6.7251176498710071E-14</v>
      </c>
      <c r="S9" s="3">
        <f t="shared" si="0"/>
        <v>1.4587899815648351E-3</v>
      </c>
    </row>
    <row r="10" spans="1:19" x14ac:dyDescent="0.2">
      <c r="A10" t="s">
        <v>33</v>
      </c>
      <c r="B10" t="s">
        <v>16</v>
      </c>
      <c r="C10" t="s">
        <v>34</v>
      </c>
      <c r="D10">
        <v>1</v>
      </c>
      <c r="E10" t="s">
        <v>35</v>
      </c>
      <c r="F10">
        <v>275</v>
      </c>
      <c r="G10">
        <v>275</v>
      </c>
      <c r="H10">
        <v>1.1906697241933379</v>
      </c>
      <c r="I10">
        <v>0.32837136604965539</v>
      </c>
      <c r="J10">
        <v>89.223301212657859</v>
      </c>
      <c r="K10">
        <v>39.229984323387782</v>
      </c>
      <c r="L10">
        <v>1.1829654585892919</v>
      </c>
      <c r="M10">
        <v>0.27437646427414542</v>
      </c>
      <c r="N10">
        <v>89.223301212663287</v>
      </c>
      <c r="O10">
        <v>39.301506687818417</v>
      </c>
      <c r="P10" s="3">
        <f t="shared" si="1"/>
        <v>6.5126716491227914E-3</v>
      </c>
      <c r="Q10" s="3">
        <f t="shared" si="0"/>
        <v>0.1967913024841684</v>
      </c>
      <c r="R10" s="3">
        <f t="shared" si="0"/>
        <v>6.0842251154418198E-14</v>
      </c>
      <c r="S10" s="3">
        <f t="shared" si="0"/>
        <v>1.8198377227304462E-3</v>
      </c>
    </row>
    <row r="11" spans="1:19" x14ac:dyDescent="0.2">
      <c r="A11" t="s">
        <v>36</v>
      </c>
      <c r="B11" t="s">
        <v>16</v>
      </c>
      <c r="C11" t="s">
        <v>34</v>
      </c>
      <c r="D11">
        <v>2</v>
      </c>
      <c r="E11" t="s">
        <v>37</v>
      </c>
      <c r="F11">
        <v>261</v>
      </c>
      <c r="G11">
        <v>259</v>
      </c>
      <c r="H11">
        <v>1.28110529795877</v>
      </c>
      <c r="I11">
        <v>0.49292243284291898</v>
      </c>
      <c r="J11">
        <v>94.515430373659015</v>
      </c>
      <c r="K11">
        <v>36.47477597777462</v>
      </c>
      <c r="L11">
        <v>1.2893703227729729</v>
      </c>
      <c r="M11">
        <v>0.5170571465185031</v>
      </c>
      <c r="N11">
        <v>93.79117420223109</v>
      </c>
      <c r="O11">
        <v>37.329377510878338</v>
      </c>
      <c r="P11" s="3">
        <f t="shared" si="1"/>
        <v>6.410124902229624E-3</v>
      </c>
      <c r="Q11" s="3">
        <f t="shared" si="0"/>
        <v>4.6677072037569156E-2</v>
      </c>
      <c r="R11" s="3">
        <f t="shared" si="0"/>
        <v>7.7220077218171377E-3</v>
      </c>
      <c r="S11" s="3">
        <f t="shared" si="0"/>
        <v>2.2893538282407054E-2</v>
      </c>
    </row>
    <row r="12" spans="1:19" x14ac:dyDescent="0.2">
      <c r="A12" t="s">
        <v>38</v>
      </c>
      <c r="B12" t="s">
        <v>16</v>
      </c>
      <c r="C12" t="s">
        <v>34</v>
      </c>
      <c r="D12">
        <v>3</v>
      </c>
      <c r="E12" t="s">
        <v>39</v>
      </c>
      <c r="F12">
        <v>256</v>
      </c>
      <c r="G12">
        <v>255</v>
      </c>
      <c r="H12">
        <v>1.240747905061256</v>
      </c>
      <c r="I12">
        <v>0.45424907212620019</v>
      </c>
      <c r="J12">
        <v>95.336650714087099</v>
      </c>
      <c r="K12">
        <v>36.861105994721768</v>
      </c>
      <c r="L12">
        <v>1.240348080254557</v>
      </c>
      <c r="M12">
        <v>0.45350422415340252</v>
      </c>
      <c r="N12">
        <v>94.964241922232901</v>
      </c>
      <c r="O12">
        <v>37.339594829959339</v>
      </c>
      <c r="P12" s="3">
        <f t="shared" si="1"/>
        <v>3.2234887372657706E-4</v>
      </c>
      <c r="Q12" s="3">
        <f t="shared" si="0"/>
        <v>1.6424278609270817E-3</v>
      </c>
      <c r="R12" s="3">
        <f t="shared" si="0"/>
        <v>3.9215686274752483E-3</v>
      </c>
      <c r="S12" s="3">
        <f t="shared" si="0"/>
        <v>1.2814515996131159E-2</v>
      </c>
    </row>
    <row r="13" spans="1:19" x14ac:dyDescent="0.2">
      <c r="A13" t="s">
        <v>40</v>
      </c>
      <c r="B13" t="s">
        <v>16</v>
      </c>
      <c r="C13" t="s">
        <v>34</v>
      </c>
      <c r="D13">
        <v>4</v>
      </c>
      <c r="E13" t="s">
        <v>41</v>
      </c>
      <c r="F13">
        <v>222</v>
      </c>
      <c r="G13">
        <v>222</v>
      </c>
      <c r="H13">
        <v>1.2756093263664909</v>
      </c>
      <c r="I13">
        <v>0.53516939317486134</v>
      </c>
      <c r="J13">
        <v>94.516439354565094</v>
      </c>
      <c r="K13">
        <v>35.798031402291691</v>
      </c>
      <c r="L13">
        <v>1.2706443741144799</v>
      </c>
      <c r="M13">
        <v>0.5066200804289076</v>
      </c>
      <c r="N13">
        <v>94.516439354573251</v>
      </c>
      <c r="O13">
        <v>35.878931011463131</v>
      </c>
      <c r="P13" s="3">
        <f t="shared" si="1"/>
        <v>3.9074286662395975E-3</v>
      </c>
      <c r="Q13" s="3">
        <f t="shared" si="0"/>
        <v>5.6352509205287948E-2</v>
      </c>
      <c r="R13" s="3">
        <f t="shared" si="0"/>
        <v>8.6302770843125992E-14</v>
      </c>
      <c r="S13" s="3">
        <f t="shared" si="0"/>
        <v>2.2547943010228517E-3</v>
      </c>
    </row>
    <row r="14" spans="1:19" x14ac:dyDescent="0.2">
      <c r="A14" t="s">
        <v>42</v>
      </c>
      <c r="B14" t="s">
        <v>16</v>
      </c>
      <c r="C14" t="s">
        <v>34</v>
      </c>
      <c r="D14">
        <v>5</v>
      </c>
      <c r="E14" t="s">
        <v>43</v>
      </c>
      <c r="F14">
        <v>238</v>
      </c>
      <c r="G14">
        <v>238</v>
      </c>
      <c r="H14">
        <v>1.273080971969851</v>
      </c>
      <c r="I14">
        <v>0.46190277001949159</v>
      </c>
      <c r="J14">
        <v>93.008985844697364</v>
      </c>
      <c r="K14">
        <v>39.421397063111591</v>
      </c>
      <c r="L14">
        <v>1.244862244773896</v>
      </c>
      <c r="M14">
        <v>0.39858929022536521</v>
      </c>
      <c r="N14">
        <v>93.008985844696767</v>
      </c>
      <c r="O14">
        <v>39.504477022629857</v>
      </c>
      <c r="P14" s="3">
        <f t="shared" si="1"/>
        <v>2.2668152491909212E-2</v>
      </c>
      <c r="Q14" s="3">
        <f t="shared" si="0"/>
        <v>0.15884390611280222</v>
      </c>
      <c r="R14" s="3">
        <f t="shared" si="0"/>
        <v>6.4171853140630278E-15</v>
      </c>
      <c r="S14" s="3">
        <f t="shared" si="0"/>
        <v>2.1030517495693882E-3</v>
      </c>
    </row>
    <row r="15" spans="1:19" x14ac:dyDescent="0.2">
      <c r="A15" t="s">
        <v>44</v>
      </c>
      <c r="B15" t="s">
        <v>16</v>
      </c>
      <c r="C15" t="s">
        <v>34</v>
      </c>
      <c r="D15">
        <v>6</v>
      </c>
      <c r="E15" t="s">
        <v>45</v>
      </c>
      <c r="F15">
        <v>245</v>
      </c>
      <c r="G15">
        <v>244</v>
      </c>
      <c r="H15">
        <v>1.246305078801462</v>
      </c>
      <c r="I15">
        <v>0.40483308225084341</v>
      </c>
      <c r="J15">
        <v>93.999007617234966</v>
      </c>
      <c r="K15">
        <v>33.207731662226173</v>
      </c>
      <c r="L15">
        <v>1.269747906594981</v>
      </c>
      <c r="M15">
        <v>0.44469525288834888</v>
      </c>
      <c r="N15">
        <v>93.615338198413596</v>
      </c>
      <c r="O15">
        <v>33.746377387411428</v>
      </c>
      <c r="P15" s="3">
        <f t="shared" si="1"/>
        <v>1.8462584322256909E-2</v>
      </c>
      <c r="Q15" s="3">
        <f t="shared" si="0"/>
        <v>8.963929877505078E-2</v>
      </c>
      <c r="R15" s="3">
        <f t="shared" si="0"/>
        <v>4.0983606554750611E-3</v>
      </c>
      <c r="S15" s="3">
        <f t="shared" si="0"/>
        <v>1.5961586602364863E-2</v>
      </c>
    </row>
    <row r="16" spans="1:19" x14ac:dyDescent="0.2">
      <c r="A16" t="s">
        <v>46</v>
      </c>
      <c r="B16" t="s">
        <v>16</v>
      </c>
      <c r="C16" t="s">
        <v>34</v>
      </c>
      <c r="D16">
        <v>7</v>
      </c>
      <c r="E16" t="s">
        <v>47</v>
      </c>
      <c r="F16">
        <v>262</v>
      </c>
      <c r="G16">
        <v>262</v>
      </c>
      <c r="H16">
        <v>1.238682135027025</v>
      </c>
      <c r="I16">
        <v>0.41802304859489681</v>
      </c>
      <c r="J16">
        <v>90.324228157318544</v>
      </c>
      <c r="K16">
        <v>35.409711663274599</v>
      </c>
      <c r="L16">
        <v>1.2428041605269591</v>
      </c>
      <c r="M16">
        <v>0.42250559085108358</v>
      </c>
      <c r="N16">
        <v>90.324228157341182</v>
      </c>
      <c r="O16">
        <v>35.477481508356547</v>
      </c>
      <c r="P16" s="3">
        <f t="shared" si="1"/>
        <v>3.3167136310409124E-3</v>
      </c>
      <c r="Q16" s="3">
        <f t="shared" si="0"/>
        <v>1.0609427078011591E-2</v>
      </c>
      <c r="R16" s="3">
        <f t="shared" si="0"/>
        <v>2.5062922787319582E-13</v>
      </c>
      <c r="S16" s="3">
        <f t="shared" si="0"/>
        <v>1.9102214193525791E-3</v>
      </c>
    </row>
    <row r="17" spans="1:19" x14ac:dyDescent="0.2">
      <c r="A17" t="s">
        <v>48</v>
      </c>
      <c r="B17" t="s">
        <v>16</v>
      </c>
      <c r="C17" t="s">
        <v>34</v>
      </c>
      <c r="D17">
        <v>8</v>
      </c>
      <c r="E17" t="s">
        <v>49</v>
      </c>
      <c r="F17">
        <v>270</v>
      </c>
      <c r="G17">
        <v>268</v>
      </c>
      <c r="H17">
        <v>1.248196442515402</v>
      </c>
      <c r="I17">
        <v>0.41637433446903371</v>
      </c>
      <c r="J17">
        <v>89.788108910155074</v>
      </c>
      <c r="K17">
        <v>36.557870684977672</v>
      </c>
      <c r="L17">
        <v>1.2444794494821161</v>
      </c>
      <c r="M17">
        <v>0.44082217632214937</v>
      </c>
      <c r="N17">
        <v>89.123011807100283</v>
      </c>
      <c r="O17">
        <v>37.296184811322853</v>
      </c>
      <c r="P17" s="3">
        <f t="shared" si="1"/>
        <v>2.9867853863176962E-3</v>
      </c>
      <c r="Q17" s="3">
        <f t="shared" si="0"/>
        <v>5.5459646012112986E-2</v>
      </c>
      <c r="R17" s="3">
        <f t="shared" si="0"/>
        <v>7.4626865673518856E-3</v>
      </c>
      <c r="S17" s="3">
        <f t="shared" si="0"/>
        <v>1.9795969214551769E-2</v>
      </c>
    </row>
    <row r="18" spans="1:19" x14ac:dyDescent="0.2">
      <c r="A18" t="s">
        <v>50</v>
      </c>
      <c r="B18" t="s">
        <v>16</v>
      </c>
      <c r="C18" t="s">
        <v>34</v>
      </c>
      <c r="D18">
        <v>9</v>
      </c>
      <c r="E18" t="s">
        <v>51</v>
      </c>
      <c r="F18">
        <v>546</v>
      </c>
      <c r="G18">
        <v>544</v>
      </c>
      <c r="H18">
        <v>1.2162614453377989</v>
      </c>
      <c r="I18">
        <v>0.37320970152629102</v>
      </c>
      <c r="J18">
        <v>88.565580111416523</v>
      </c>
      <c r="K18">
        <v>38.103696606181899</v>
      </c>
      <c r="L18">
        <v>1.2126622540686089</v>
      </c>
      <c r="M18">
        <v>0.3677384834850394</v>
      </c>
      <c r="N18">
        <v>88.241164067057127</v>
      </c>
      <c r="O18">
        <v>38.443556668482927</v>
      </c>
      <c r="P18" s="3">
        <f t="shared" si="1"/>
        <v>2.9680079981992393E-3</v>
      </c>
      <c r="Q18" s="3">
        <f t="shared" ref="Q18:Q81" si="2">ABS(I18-M18)/M18</f>
        <v>1.4878013281071785E-2</v>
      </c>
      <c r="R18" s="3">
        <f t="shared" ref="R18:R81" si="3">ABS(J18-N18)/N18</f>
        <v>3.6764705881810666E-3</v>
      </c>
      <c r="S18" s="3">
        <f t="shared" ref="S18:S81" si="4">ABS(K18-O18)/O18</f>
        <v>8.8404947864684606E-3</v>
      </c>
    </row>
    <row r="19" spans="1:19" x14ac:dyDescent="0.2">
      <c r="A19" t="s">
        <v>52</v>
      </c>
      <c r="B19" t="s">
        <v>16</v>
      </c>
      <c r="C19" t="s">
        <v>34</v>
      </c>
      <c r="D19">
        <v>10</v>
      </c>
      <c r="E19" t="s">
        <v>53</v>
      </c>
      <c r="F19">
        <v>461</v>
      </c>
      <c r="G19">
        <v>461</v>
      </c>
      <c r="H19">
        <v>1.2733596442862949</v>
      </c>
      <c r="I19">
        <v>0.51279406080793988</v>
      </c>
      <c r="J19">
        <v>93.113690308627142</v>
      </c>
      <c r="K19">
        <v>37.356770139725263</v>
      </c>
      <c r="L19">
        <v>1.256400259313228</v>
      </c>
      <c r="M19">
        <v>0.46927312434115148</v>
      </c>
      <c r="N19">
        <v>93.113690308631845</v>
      </c>
      <c r="O19">
        <v>37.397353280584809</v>
      </c>
      <c r="P19" s="3">
        <f t="shared" si="1"/>
        <v>1.3498393403975614E-2</v>
      </c>
      <c r="Q19" s="3">
        <f t="shared" si="2"/>
        <v>9.2741165452189009E-2</v>
      </c>
      <c r="R19" s="3">
        <f t="shared" si="3"/>
        <v>5.0516662964820877E-14</v>
      </c>
      <c r="S19" s="3">
        <f t="shared" si="4"/>
        <v>1.0851875146098958E-3</v>
      </c>
    </row>
    <row r="20" spans="1:19" x14ac:dyDescent="0.2">
      <c r="A20" t="s">
        <v>54</v>
      </c>
      <c r="B20" t="s">
        <v>16</v>
      </c>
      <c r="C20" t="s">
        <v>55</v>
      </c>
      <c r="D20">
        <v>1</v>
      </c>
      <c r="E20" t="s">
        <v>56</v>
      </c>
      <c r="F20">
        <v>123</v>
      </c>
      <c r="G20">
        <v>123</v>
      </c>
      <c r="H20">
        <v>1.2761596147694321</v>
      </c>
      <c r="I20">
        <v>0.42866412208967969</v>
      </c>
      <c r="J20">
        <v>94.332010212589083</v>
      </c>
      <c r="K20">
        <v>36.286911967320748</v>
      </c>
      <c r="L20">
        <v>1.276822967194952</v>
      </c>
      <c r="M20">
        <v>0.45579685567759559</v>
      </c>
      <c r="N20">
        <v>94.332010212589068</v>
      </c>
      <c r="O20">
        <v>36.435325314601499</v>
      </c>
      <c r="P20" s="3">
        <f t="shared" si="1"/>
        <v>5.1953359436921409E-4</v>
      </c>
      <c r="Q20" s="3">
        <f t="shared" si="2"/>
        <v>5.9528128046385721E-2</v>
      </c>
      <c r="R20" s="3">
        <f t="shared" si="3"/>
        <v>1.5064721596811148E-16</v>
      </c>
      <c r="S20" s="3">
        <f t="shared" si="4"/>
        <v>4.0733366862865522E-3</v>
      </c>
    </row>
    <row r="21" spans="1:19" x14ac:dyDescent="0.2">
      <c r="A21" t="s">
        <v>57</v>
      </c>
      <c r="B21" t="s">
        <v>16</v>
      </c>
      <c r="C21" t="s">
        <v>55</v>
      </c>
      <c r="D21">
        <v>2</v>
      </c>
      <c r="E21" t="s">
        <v>58</v>
      </c>
      <c r="F21">
        <v>832</v>
      </c>
      <c r="G21">
        <v>831</v>
      </c>
      <c r="H21">
        <v>1.232553560019336</v>
      </c>
      <c r="I21">
        <v>0.4310209303291847</v>
      </c>
      <c r="J21">
        <v>91.32359606504582</v>
      </c>
      <c r="K21">
        <v>37.102669784085869</v>
      </c>
      <c r="L21">
        <v>1.2277465908699261</v>
      </c>
      <c r="M21">
        <v>0.41421047532459337</v>
      </c>
      <c r="N21">
        <v>91.213832127496602</v>
      </c>
      <c r="O21">
        <v>37.237509887261687</v>
      </c>
      <c r="P21" s="3">
        <f t="shared" si="1"/>
        <v>3.9152779451042258E-3</v>
      </c>
      <c r="Q21" s="3">
        <f t="shared" si="2"/>
        <v>4.0584330928419725E-2</v>
      </c>
      <c r="R21" s="3">
        <f t="shared" si="3"/>
        <v>1.2033694340984639E-3</v>
      </c>
      <c r="S21" s="3">
        <f t="shared" si="4"/>
        <v>3.621082708915107E-3</v>
      </c>
    </row>
    <row r="22" spans="1:19" x14ac:dyDescent="0.2">
      <c r="A22" t="s">
        <v>59</v>
      </c>
      <c r="B22" t="s">
        <v>16</v>
      </c>
      <c r="C22" t="s">
        <v>55</v>
      </c>
      <c r="D22">
        <v>3</v>
      </c>
      <c r="E22" t="s">
        <v>60</v>
      </c>
      <c r="F22">
        <v>1184</v>
      </c>
      <c r="G22">
        <v>1181</v>
      </c>
      <c r="H22">
        <v>1.264630225099546</v>
      </c>
      <c r="I22">
        <v>0.47506743689562742</v>
      </c>
      <c r="J22">
        <v>92.866347149928885</v>
      </c>
      <c r="K22">
        <v>36.49271325448867</v>
      </c>
      <c r="L22">
        <v>1.264129049395821</v>
      </c>
      <c r="M22">
        <v>0.47553507996367239</v>
      </c>
      <c r="N22">
        <v>92.631043905527491</v>
      </c>
      <c r="O22">
        <v>36.759781080951697</v>
      </c>
      <c r="P22" s="3">
        <f t="shared" si="1"/>
        <v>3.9645928868142056E-4</v>
      </c>
      <c r="Q22" s="3">
        <f t="shared" si="2"/>
        <v>9.8340393327175945E-4</v>
      </c>
      <c r="R22" s="3">
        <f t="shared" si="3"/>
        <v>2.5402201516953036E-3</v>
      </c>
      <c r="S22" s="3">
        <f t="shared" si="4"/>
        <v>7.2652180891636733E-3</v>
      </c>
    </row>
    <row r="23" spans="1:19" x14ac:dyDescent="0.2">
      <c r="A23" t="s">
        <v>61</v>
      </c>
      <c r="B23" t="s">
        <v>16</v>
      </c>
      <c r="C23" t="s">
        <v>62</v>
      </c>
      <c r="D23">
        <v>1</v>
      </c>
      <c r="E23" t="s">
        <v>63</v>
      </c>
      <c r="F23">
        <v>222</v>
      </c>
      <c r="G23">
        <v>222</v>
      </c>
      <c r="H23">
        <v>1.209269106797614</v>
      </c>
      <c r="I23">
        <v>0.34201520634985277</v>
      </c>
      <c r="J23">
        <v>95.586827745895675</v>
      </c>
      <c r="K23">
        <v>37.098354478662458</v>
      </c>
      <c r="L23">
        <v>1.234301265137443</v>
      </c>
      <c r="M23">
        <v>0.36161444271190712</v>
      </c>
      <c r="N23">
        <v>95.58682774588398</v>
      </c>
      <c r="O23">
        <v>37.18219267481016</v>
      </c>
      <c r="P23" s="3">
        <f t="shared" si="1"/>
        <v>2.0280428325609442E-2</v>
      </c>
      <c r="Q23" s="3">
        <f t="shared" si="2"/>
        <v>5.4199263212694117E-2</v>
      </c>
      <c r="R23" s="3">
        <f t="shared" si="3"/>
        <v>1.2235507450570107E-13</v>
      </c>
      <c r="S23" s="3">
        <f t="shared" si="4"/>
        <v>2.2547943011575139E-3</v>
      </c>
    </row>
    <row r="24" spans="1:19" x14ac:dyDescent="0.2">
      <c r="A24" t="s">
        <v>64</v>
      </c>
      <c r="B24" t="s">
        <v>16</v>
      </c>
      <c r="C24" t="s">
        <v>62</v>
      </c>
      <c r="D24">
        <v>2</v>
      </c>
      <c r="E24" t="s">
        <v>65</v>
      </c>
      <c r="F24">
        <v>199</v>
      </c>
      <c r="G24">
        <v>197</v>
      </c>
      <c r="H24">
        <v>1.339943036008227</v>
      </c>
      <c r="I24">
        <v>0.54845497464566539</v>
      </c>
      <c r="J24">
        <v>92.315569445364957</v>
      </c>
      <c r="K24">
        <v>35.382122972088851</v>
      </c>
      <c r="L24">
        <v>1.3388347863982699</v>
      </c>
      <c r="M24">
        <v>0.55680717821939263</v>
      </c>
      <c r="N24">
        <v>91.387774777565596</v>
      </c>
      <c r="O24">
        <v>36.479984152248527</v>
      </c>
      <c r="P24" s="3">
        <f t="shared" si="1"/>
        <v>8.2777174690720821E-4</v>
      </c>
      <c r="Q24" s="3">
        <f t="shared" si="2"/>
        <v>1.5000172232758659E-2</v>
      </c>
      <c r="R24" s="3">
        <f t="shared" si="3"/>
        <v>1.0152284264033985E-2</v>
      </c>
      <c r="S24" s="3">
        <f t="shared" si="4"/>
        <v>3.0094891916009957E-2</v>
      </c>
    </row>
    <row r="25" spans="1:19" x14ac:dyDescent="0.2">
      <c r="A25" t="s">
        <v>66</v>
      </c>
      <c r="B25" t="s">
        <v>16</v>
      </c>
      <c r="C25" t="s">
        <v>62</v>
      </c>
      <c r="D25">
        <v>3</v>
      </c>
      <c r="E25" t="s">
        <v>67</v>
      </c>
      <c r="F25">
        <v>199</v>
      </c>
      <c r="G25">
        <v>199</v>
      </c>
      <c r="H25">
        <v>1.2747801755049031</v>
      </c>
      <c r="I25">
        <v>0.52723006417159934</v>
      </c>
      <c r="J25">
        <v>95.183902994198434</v>
      </c>
      <c r="K25">
        <v>33.292900376126873</v>
      </c>
      <c r="L25">
        <v>1.285923463209149</v>
      </c>
      <c r="M25">
        <v>0.54749427964960007</v>
      </c>
      <c r="N25">
        <v>95.183902994189424</v>
      </c>
      <c r="O25">
        <v>33.376867471338393</v>
      </c>
      <c r="P25" s="3">
        <f t="shared" si="1"/>
        <v>8.665591711373483E-3</v>
      </c>
      <c r="Q25" s="3">
        <f t="shared" si="2"/>
        <v>3.7012652426195128E-2</v>
      </c>
      <c r="R25" s="3">
        <f t="shared" si="3"/>
        <v>9.4655520587216026E-14</v>
      </c>
      <c r="S25" s="3">
        <f t="shared" si="4"/>
        <v>2.5157272558194591E-3</v>
      </c>
    </row>
    <row r="26" spans="1:19" x14ac:dyDescent="0.2">
      <c r="A26" t="s">
        <v>68</v>
      </c>
      <c r="B26" t="s">
        <v>16</v>
      </c>
      <c r="C26" t="s">
        <v>62</v>
      </c>
      <c r="D26">
        <v>4</v>
      </c>
      <c r="E26" t="s">
        <v>69</v>
      </c>
      <c r="F26">
        <v>214</v>
      </c>
      <c r="G26">
        <v>214</v>
      </c>
      <c r="H26">
        <v>1.259043394165597</v>
      </c>
      <c r="I26">
        <v>0.47242187858821538</v>
      </c>
      <c r="J26">
        <v>89.825414267661316</v>
      </c>
      <c r="K26">
        <v>38.270016078275347</v>
      </c>
      <c r="L26">
        <v>1.243778097240468</v>
      </c>
      <c r="M26">
        <v>0.46098411118396998</v>
      </c>
      <c r="N26">
        <v>89.825414267677687</v>
      </c>
      <c r="O26">
        <v>38.359746602573942</v>
      </c>
      <c r="P26" s="3">
        <f t="shared" si="1"/>
        <v>1.2273328304299341E-2</v>
      </c>
      <c r="Q26" s="3">
        <f t="shared" si="2"/>
        <v>2.4811630437476851E-2</v>
      </c>
      <c r="R26" s="3">
        <f t="shared" si="3"/>
        <v>1.8225248127582006E-13</v>
      </c>
      <c r="S26" s="3">
        <f t="shared" si="4"/>
        <v>2.3391844901440029E-3</v>
      </c>
    </row>
    <row r="27" spans="1:19" x14ac:dyDescent="0.2">
      <c r="A27" t="s">
        <v>70</v>
      </c>
      <c r="B27" t="s">
        <v>16</v>
      </c>
      <c r="C27" t="s">
        <v>62</v>
      </c>
      <c r="D27">
        <v>5</v>
      </c>
      <c r="E27" t="s">
        <v>71</v>
      </c>
      <c r="F27">
        <v>214</v>
      </c>
      <c r="G27">
        <v>214</v>
      </c>
      <c r="H27">
        <v>1.3078770581102801</v>
      </c>
      <c r="I27">
        <v>0.56951194530241855</v>
      </c>
      <c r="J27">
        <v>92.049540406497513</v>
      </c>
      <c r="K27">
        <v>38.049623942236828</v>
      </c>
      <c r="L27">
        <v>1.2997737538245751</v>
      </c>
      <c r="M27">
        <v>0.54214917223706038</v>
      </c>
      <c r="N27">
        <v>92.049540406505287</v>
      </c>
      <c r="O27">
        <v>38.138837719899428</v>
      </c>
      <c r="P27" s="3">
        <f t="shared" si="1"/>
        <v>6.2343959953500621E-3</v>
      </c>
      <c r="Q27" s="3">
        <f t="shared" si="2"/>
        <v>5.0470930265284097E-2</v>
      </c>
      <c r="R27" s="3">
        <f t="shared" si="3"/>
        <v>8.4447325808333329E-14</v>
      </c>
      <c r="S27" s="3">
        <f t="shared" si="4"/>
        <v>2.3391844900415423E-3</v>
      </c>
    </row>
    <row r="28" spans="1:19" x14ac:dyDescent="0.2">
      <c r="A28" t="s">
        <v>72</v>
      </c>
      <c r="B28" t="s">
        <v>16</v>
      </c>
      <c r="C28" t="s">
        <v>62</v>
      </c>
      <c r="D28">
        <v>6</v>
      </c>
      <c r="E28" t="s">
        <v>73</v>
      </c>
      <c r="F28">
        <v>219</v>
      </c>
      <c r="G28">
        <v>218</v>
      </c>
      <c r="H28">
        <v>1.2101246436994</v>
      </c>
      <c r="I28">
        <v>0.34069085986098568</v>
      </c>
      <c r="J28">
        <v>91.909986843510296</v>
      </c>
      <c r="K28">
        <v>34.938560448148998</v>
      </c>
      <c r="L28">
        <v>1.246286903854962</v>
      </c>
      <c r="M28">
        <v>0.40367768357932488</v>
      </c>
      <c r="N28">
        <v>91.49030653829783</v>
      </c>
      <c r="O28">
        <v>35.48627646737981</v>
      </c>
      <c r="P28" s="3">
        <f t="shared" si="1"/>
        <v>2.9015999481103776E-2</v>
      </c>
      <c r="Q28" s="3">
        <f t="shared" si="2"/>
        <v>0.15603246421711578</v>
      </c>
      <c r="R28" s="3">
        <f t="shared" si="3"/>
        <v>4.5871559632034717E-3</v>
      </c>
      <c r="S28" s="3">
        <f t="shared" si="4"/>
        <v>1.5434586937693817E-2</v>
      </c>
    </row>
    <row r="29" spans="1:19" x14ac:dyDescent="0.2">
      <c r="A29" t="s">
        <v>74</v>
      </c>
      <c r="B29" t="s">
        <v>16</v>
      </c>
      <c r="C29" t="s">
        <v>62</v>
      </c>
      <c r="D29">
        <v>7</v>
      </c>
      <c r="E29" t="s">
        <v>75</v>
      </c>
      <c r="F29">
        <v>225</v>
      </c>
      <c r="G29">
        <v>225</v>
      </c>
      <c r="H29">
        <v>1.259861146885598</v>
      </c>
      <c r="I29">
        <v>0.4201309778208972</v>
      </c>
      <c r="J29">
        <v>89.138439396579159</v>
      </c>
      <c r="K29">
        <v>36.132968098506282</v>
      </c>
      <c r="L29">
        <v>1.2595415178187459</v>
      </c>
      <c r="M29">
        <v>0.41969859454036662</v>
      </c>
      <c r="N29">
        <v>89.138439396602251</v>
      </c>
      <c r="O29">
        <v>36.213532229949507</v>
      </c>
      <c r="P29" s="3">
        <f t="shared" si="1"/>
        <v>2.5376620169349513E-4</v>
      </c>
      <c r="Q29" s="3">
        <f t="shared" si="2"/>
        <v>1.0302233225348407E-3</v>
      </c>
      <c r="R29" s="3">
        <f t="shared" si="3"/>
        <v>2.5906487782961448E-13</v>
      </c>
      <c r="S29" s="3">
        <f t="shared" si="4"/>
        <v>2.2246968600482578E-3</v>
      </c>
    </row>
    <row r="30" spans="1:19" x14ac:dyDescent="0.2">
      <c r="A30" t="s">
        <v>76</v>
      </c>
      <c r="B30" t="s">
        <v>16</v>
      </c>
      <c r="C30" t="s">
        <v>62</v>
      </c>
      <c r="D30">
        <v>8</v>
      </c>
      <c r="E30" t="s">
        <v>77</v>
      </c>
      <c r="F30">
        <v>232</v>
      </c>
      <c r="G30">
        <v>230</v>
      </c>
      <c r="H30">
        <v>1.237949070473549</v>
      </c>
      <c r="I30">
        <v>0.40777205970150171</v>
      </c>
      <c r="J30">
        <v>93.343234270499764</v>
      </c>
      <c r="K30">
        <v>37.002936355931922</v>
      </c>
      <c r="L30">
        <v>1.242355107755301</v>
      </c>
      <c r="M30">
        <v>0.41142259552077642</v>
      </c>
      <c r="N30">
        <v>92.538551216444333</v>
      </c>
      <c r="O30">
        <v>37.921979262926747</v>
      </c>
      <c r="P30" s="3">
        <f t="shared" si="1"/>
        <v>3.5465200362180746E-3</v>
      </c>
      <c r="Q30" s="3">
        <f t="shared" si="2"/>
        <v>8.8729589940335831E-3</v>
      </c>
      <c r="R30" s="3">
        <f t="shared" si="3"/>
        <v>8.6956521739064881E-3</v>
      </c>
      <c r="S30" s="3">
        <f t="shared" si="4"/>
        <v>2.423509861188335E-2</v>
      </c>
    </row>
    <row r="31" spans="1:19" x14ac:dyDescent="0.2">
      <c r="A31" t="s">
        <v>78</v>
      </c>
      <c r="B31" t="s">
        <v>16</v>
      </c>
      <c r="C31" t="s">
        <v>62</v>
      </c>
      <c r="D31">
        <v>9</v>
      </c>
      <c r="E31" t="s">
        <v>79</v>
      </c>
      <c r="F31">
        <v>828</v>
      </c>
      <c r="G31">
        <v>827</v>
      </c>
      <c r="H31">
        <v>1.279855740994037</v>
      </c>
      <c r="I31">
        <v>0.50690138249526329</v>
      </c>
      <c r="J31">
        <v>92.863133157473726</v>
      </c>
      <c r="K31">
        <v>36.396952277048143</v>
      </c>
      <c r="L31">
        <v>1.279886022176639</v>
      </c>
      <c r="M31">
        <v>0.51048997500876037</v>
      </c>
      <c r="N31">
        <v>92.750979615019105</v>
      </c>
      <c r="O31">
        <v>36.539746364821127</v>
      </c>
      <c r="P31" s="3">
        <f t="shared" si="1"/>
        <v>2.3659280652637925E-5</v>
      </c>
      <c r="Q31" s="3">
        <f t="shared" si="2"/>
        <v>7.0297022256617225E-3</v>
      </c>
      <c r="R31" s="3">
        <f t="shared" si="3"/>
        <v>1.2091898427395154E-3</v>
      </c>
      <c r="S31" s="3">
        <f t="shared" si="4"/>
        <v>3.9079113014987912E-3</v>
      </c>
    </row>
    <row r="32" spans="1:19" x14ac:dyDescent="0.2">
      <c r="A32" t="s">
        <v>80</v>
      </c>
      <c r="B32" t="s">
        <v>16</v>
      </c>
      <c r="C32" t="s">
        <v>62</v>
      </c>
      <c r="D32">
        <v>10</v>
      </c>
      <c r="E32" t="s">
        <v>81</v>
      </c>
      <c r="F32">
        <v>893</v>
      </c>
      <c r="G32">
        <v>891</v>
      </c>
      <c r="H32">
        <v>1.247234308084568</v>
      </c>
      <c r="I32">
        <v>0.43560740640805939</v>
      </c>
      <c r="J32">
        <v>91.406237663008696</v>
      </c>
      <c r="K32">
        <v>36.216155127654233</v>
      </c>
      <c r="L32">
        <v>1.258026585054117</v>
      </c>
      <c r="M32">
        <v>0.44785694513580893</v>
      </c>
      <c r="N32">
        <v>91.201520445408121</v>
      </c>
      <c r="O32">
        <v>36.453133337724033</v>
      </c>
      <c r="P32" s="3">
        <f t="shared" si="1"/>
        <v>8.5787352173362311E-3</v>
      </c>
      <c r="Q32" s="3">
        <f t="shared" si="2"/>
        <v>2.7351454210529123E-2</v>
      </c>
      <c r="R32" s="3">
        <f t="shared" si="3"/>
        <v>2.2446689112284612E-3</v>
      </c>
      <c r="S32" s="3">
        <f t="shared" si="4"/>
        <v>6.5009009753507294E-3</v>
      </c>
    </row>
    <row r="33" spans="1:19" x14ac:dyDescent="0.2">
      <c r="A33" t="s">
        <v>82</v>
      </c>
      <c r="B33" t="s">
        <v>16</v>
      </c>
      <c r="C33" t="s">
        <v>62</v>
      </c>
      <c r="D33">
        <v>11</v>
      </c>
      <c r="E33" t="s">
        <v>83</v>
      </c>
      <c r="F33">
        <v>399</v>
      </c>
      <c r="G33">
        <v>398</v>
      </c>
      <c r="H33">
        <v>1.3076225335232861</v>
      </c>
      <c r="I33">
        <v>0.54054073408376757</v>
      </c>
      <c r="J33">
        <v>93.37506191973398</v>
      </c>
      <c r="K33">
        <v>34.601635194138296</v>
      </c>
      <c r="L33">
        <v>1.307161183232519</v>
      </c>
      <c r="M33">
        <v>0.55037608432304608</v>
      </c>
      <c r="N33">
        <v>93.141039208156243</v>
      </c>
      <c r="O33">
        <v>34.915971177853187</v>
      </c>
      <c r="P33" s="3">
        <f t="shared" si="1"/>
        <v>3.5294062942277463E-4</v>
      </c>
      <c r="Q33" s="3">
        <f t="shared" si="2"/>
        <v>1.787023549792472E-2</v>
      </c>
      <c r="R33" s="3">
        <f t="shared" si="3"/>
        <v>2.5125628140644967E-3</v>
      </c>
      <c r="S33" s="3">
        <f t="shared" si="4"/>
        <v>9.0026418601889136E-3</v>
      </c>
    </row>
    <row r="34" spans="1:19" x14ac:dyDescent="0.2">
      <c r="A34" t="s">
        <v>84</v>
      </c>
      <c r="B34" t="s">
        <v>16</v>
      </c>
      <c r="C34" t="s">
        <v>62</v>
      </c>
      <c r="D34">
        <v>12</v>
      </c>
      <c r="E34" t="s">
        <v>85</v>
      </c>
      <c r="F34">
        <v>439</v>
      </c>
      <c r="G34">
        <v>439</v>
      </c>
      <c r="H34">
        <v>1.234352965156853</v>
      </c>
      <c r="I34">
        <v>0.38130363742536061</v>
      </c>
      <c r="J34">
        <v>90.032174306337765</v>
      </c>
      <c r="K34">
        <v>35.49286536994007</v>
      </c>
      <c r="L34">
        <v>1.2527792954087329</v>
      </c>
      <c r="M34">
        <v>0.42142881047565828</v>
      </c>
      <c r="N34">
        <v>90.032174306342242</v>
      </c>
      <c r="O34">
        <v>35.533359239771258</v>
      </c>
      <c r="P34" s="3">
        <f t="shared" si="1"/>
        <v>1.4708361097130127E-2</v>
      </c>
      <c r="Q34" s="3">
        <f t="shared" si="2"/>
        <v>9.521222102734074E-2</v>
      </c>
      <c r="R34" s="3">
        <f t="shared" si="3"/>
        <v>4.9720216908871136E-14</v>
      </c>
      <c r="S34" s="3">
        <f t="shared" si="4"/>
        <v>1.1396015096108529E-3</v>
      </c>
    </row>
    <row r="35" spans="1:19" x14ac:dyDescent="0.2">
      <c r="A35" t="s">
        <v>86</v>
      </c>
      <c r="B35" t="s">
        <v>16</v>
      </c>
      <c r="C35" t="s">
        <v>62</v>
      </c>
      <c r="D35">
        <v>13</v>
      </c>
      <c r="E35" t="s">
        <v>87</v>
      </c>
      <c r="F35">
        <v>429</v>
      </c>
      <c r="G35">
        <v>429</v>
      </c>
      <c r="H35">
        <v>1.285985126992746</v>
      </c>
      <c r="I35">
        <v>0.5407882209253565</v>
      </c>
      <c r="J35">
        <v>90.679621340692123</v>
      </c>
      <c r="K35">
        <v>37.801154199846593</v>
      </c>
      <c r="L35">
        <v>1.2743280625192761</v>
      </c>
      <c r="M35">
        <v>0.52120232041580439</v>
      </c>
      <c r="N35">
        <v>90.679621340716182</v>
      </c>
      <c r="O35">
        <v>37.845288662281547</v>
      </c>
      <c r="P35" s="3">
        <f t="shared" si="1"/>
        <v>9.1476165489321123E-3</v>
      </c>
      <c r="Q35" s="3">
        <f t="shared" si="2"/>
        <v>3.7578306431803467E-2</v>
      </c>
      <c r="R35" s="3">
        <f t="shared" si="3"/>
        <v>2.6531845498602934E-13</v>
      </c>
      <c r="S35" s="3">
        <f t="shared" si="4"/>
        <v>1.1661811547745058E-3</v>
      </c>
    </row>
    <row r="36" spans="1:19" x14ac:dyDescent="0.2">
      <c r="A36" t="s">
        <v>88</v>
      </c>
      <c r="B36" t="s">
        <v>16</v>
      </c>
      <c r="C36" t="s">
        <v>62</v>
      </c>
      <c r="D36">
        <v>14</v>
      </c>
      <c r="E36" t="s">
        <v>89</v>
      </c>
      <c r="F36">
        <v>452</v>
      </c>
      <c r="G36">
        <v>450</v>
      </c>
      <c r="H36">
        <v>1.2209970909830079</v>
      </c>
      <c r="I36">
        <v>0.3745798355210444</v>
      </c>
      <c r="J36">
        <v>93.50446433892732</v>
      </c>
      <c r="K36">
        <v>37.185328772413229</v>
      </c>
      <c r="L36">
        <v>1.2357276366739629</v>
      </c>
      <c r="M36">
        <v>0.38569130809179358</v>
      </c>
      <c r="N36">
        <v>93.09072777105429</v>
      </c>
      <c r="O36">
        <v>37.660100261839567</v>
      </c>
      <c r="P36" s="3">
        <f t="shared" si="1"/>
        <v>1.1920544021013538E-2</v>
      </c>
      <c r="Q36" s="3">
        <f t="shared" si="2"/>
        <v>2.8809237692503764E-2</v>
      </c>
      <c r="R36" s="3">
        <f t="shared" si="3"/>
        <v>4.4444444444624708E-3</v>
      </c>
      <c r="S36" s="3">
        <f t="shared" si="4"/>
        <v>1.2606750543025432E-2</v>
      </c>
    </row>
    <row r="37" spans="1:19" x14ac:dyDescent="0.2">
      <c r="A37" t="s">
        <v>90</v>
      </c>
      <c r="B37" t="s">
        <v>16</v>
      </c>
      <c r="C37" t="s">
        <v>62</v>
      </c>
      <c r="D37">
        <v>15</v>
      </c>
      <c r="E37" t="s">
        <v>91</v>
      </c>
      <c r="F37">
        <v>1720</v>
      </c>
      <c r="G37">
        <v>1717</v>
      </c>
      <c r="H37">
        <v>1.2635316205402649</v>
      </c>
      <c r="I37">
        <v>0.47630196045358519</v>
      </c>
      <c r="J37">
        <v>91.802692778650481</v>
      </c>
      <c r="K37">
        <v>36.23082941258297</v>
      </c>
      <c r="L37">
        <v>1.2665596507000381</v>
      </c>
      <c r="M37">
        <v>0.48144635814020448</v>
      </c>
      <c r="N37">
        <v>91.642571802962948</v>
      </c>
      <c r="O37">
        <v>36.411923628817867</v>
      </c>
      <c r="P37" s="3">
        <f t="shared" si="1"/>
        <v>2.3907521119116153E-3</v>
      </c>
      <c r="Q37" s="3">
        <f t="shared" si="2"/>
        <v>1.0685297748417401E-2</v>
      </c>
      <c r="R37" s="3">
        <f t="shared" si="3"/>
        <v>1.7472335459092442E-3</v>
      </c>
      <c r="S37" s="3">
        <f t="shared" si="4"/>
        <v>4.9734866545631017E-3</v>
      </c>
    </row>
    <row r="38" spans="1:19" x14ac:dyDescent="0.2">
      <c r="A38" t="s">
        <v>92</v>
      </c>
      <c r="B38" t="s">
        <v>16</v>
      </c>
      <c r="C38" t="s">
        <v>93</v>
      </c>
      <c r="D38">
        <v>1</v>
      </c>
      <c r="E38" t="s">
        <v>94</v>
      </c>
      <c r="F38">
        <v>284</v>
      </c>
      <c r="G38">
        <v>284</v>
      </c>
      <c r="H38">
        <v>1.286492944950024</v>
      </c>
      <c r="I38">
        <v>0.57347643874493892</v>
      </c>
      <c r="J38">
        <v>90.666940495351724</v>
      </c>
      <c r="K38">
        <v>37.292736149757602</v>
      </c>
      <c r="L38">
        <v>1.2826216240132351</v>
      </c>
      <c r="M38">
        <v>0.57915980326005378</v>
      </c>
      <c r="N38">
        <v>90.666940495352634</v>
      </c>
      <c r="O38">
        <v>37.35856627363053</v>
      </c>
      <c r="P38" s="3">
        <f t="shared" si="1"/>
        <v>3.0182875949617801E-3</v>
      </c>
      <c r="Q38" s="3">
        <f t="shared" si="2"/>
        <v>9.8131197695757975E-3</v>
      </c>
      <c r="R38" s="3">
        <f t="shared" si="3"/>
        <v>1.0031161267866392E-14</v>
      </c>
      <c r="S38" s="3">
        <f t="shared" si="4"/>
        <v>1.7621159064499226E-3</v>
      </c>
    </row>
    <row r="39" spans="1:19" x14ac:dyDescent="0.2">
      <c r="A39" t="s">
        <v>95</v>
      </c>
      <c r="B39" t="s">
        <v>16</v>
      </c>
      <c r="C39" t="s">
        <v>93</v>
      </c>
      <c r="D39">
        <v>2</v>
      </c>
      <c r="E39" t="s">
        <v>96</v>
      </c>
      <c r="F39">
        <v>351</v>
      </c>
      <c r="G39">
        <v>350</v>
      </c>
      <c r="H39">
        <v>1.2465110570480531</v>
      </c>
      <c r="I39">
        <v>0.46499220638745958</v>
      </c>
      <c r="J39">
        <v>94.424969668014555</v>
      </c>
      <c r="K39">
        <v>37.176873848507192</v>
      </c>
      <c r="L39">
        <v>1.2367259914687569</v>
      </c>
      <c r="M39">
        <v>0.46307884288527901</v>
      </c>
      <c r="N39">
        <v>94.15595266041808</v>
      </c>
      <c r="O39">
        <v>37.516954459697381</v>
      </c>
      <c r="P39" s="3">
        <f t="shared" si="1"/>
        <v>7.9120723966310726E-3</v>
      </c>
      <c r="Q39" s="3">
        <f t="shared" si="2"/>
        <v>4.1318309648073984E-3</v>
      </c>
      <c r="R39" s="3">
        <f t="shared" si="3"/>
        <v>2.8571428570927262E-3</v>
      </c>
      <c r="S39" s="3">
        <f t="shared" si="4"/>
        <v>9.0647179678595841E-3</v>
      </c>
    </row>
    <row r="40" spans="1:19" x14ac:dyDescent="0.2">
      <c r="A40" t="s">
        <v>97</v>
      </c>
      <c r="B40" t="s">
        <v>16</v>
      </c>
      <c r="C40" t="s">
        <v>93</v>
      </c>
      <c r="D40">
        <v>3</v>
      </c>
      <c r="E40" t="s">
        <v>98</v>
      </c>
      <c r="F40">
        <v>275</v>
      </c>
      <c r="G40">
        <v>275</v>
      </c>
      <c r="H40">
        <v>1.2902595652992821</v>
      </c>
      <c r="I40">
        <v>0.58214823959261885</v>
      </c>
      <c r="J40">
        <v>91.770617925801915</v>
      </c>
      <c r="K40">
        <v>35.93238525713236</v>
      </c>
      <c r="L40">
        <v>1.302163386918372</v>
      </c>
      <c r="M40">
        <v>0.59008096649941921</v>
      </c>
      <c r="N40">
        <v>91.770617925800536</v>
      </c>
      <c r="O40">
        <v>35.997895585461748</v>
      </c>
      <c r="P40" s="3">
        <f t="shared" si="1"/>
        <v>9.1415729690118228E-3</v>
      </c>
      <c r="Q40" s="3">
        <f t="shared" si="2"/>
        <v>1.3443454978492626E-2</v>
      </c>
      <c r="R40" s="3">
        <f t="shared" si="3"/>
        <v>1.5020634474632364E-14</v>
      </c>
      <c r="S40" s="3">
        <f t="shared" si="4"/>
        <v>1.8198377228430419E-3</v>
      </c>
    </row>
    <row r="41" spans="1:19" x14ac:dyDescent="0.2">
      <c r="A41" t="s">
        <v>99</v>
      </c>
      <c r="B41" t="s">
        <v>16</v>
      </c>
      <c r="C41" t="s">
        <v>93</v>
      </c>
      <c r="D41">
        <v>4</v>
      </c>
      <c r="E41" t="s">
        <v>100</v>
      </c>
      <c r="F41">
        <v>294</v>
      </c>
      <c r="G41">
        <v>294</v>
      </c>
      <c r="H41">
        <v>1.2764576640531291</v>
      </c>
      <c r="I41">
        <v>0.5063278560239125</v>
      </c>
      <c r="J41">
        <v>91.520174636687514</v>
      </c>
      <c r="K41">
        <v>37.557415094979007</v>
      </c>
      <c r="L41">
        <v>1.2765241703850749</v>
      </c>
      <c r="M41">
        <v>0.51583505866609292</v>
      </c>
      <c r="N41">
        <v>91.5201746366875</v>
      </c>
      <c r="O41">
        <v>37.62145165485591</v>
      </c>
      <c r="P41" s="3">
        <f t="shared" si="1"/>
        <v>5.2099547731840959E-5</v>
      </c>
      <c r="Q41" s="3">
        <f t="shared" si="2"/>
        <v>1.843070276527008E-2</v>
      </c>
      <c r="R41" s="3">
        <f t="shared" si="3"/>
        <v>1.5527565120603833E-16</v>
      </c>
      <c r="S41" s="3">
        <f t="shared" si="4"/>
        <v>1.7021288934936226E-3</v>
      </c>
    </row>
    <row r="42" spans="1:19" x14ac:dyDescent="0.2">
      <c r="A42" t="s">
        <v>101</v>
      </c>
      <c r="B42" t="s">
        <v>16</v>
      </c>
      <c r="C42" t="s">
        <v>93</v>
      </c>
      <c r="D42">
        <v>5</v>
      </c>
      <c r="E42" t="s">
        <v>102</v>
      </c>
      <c r="F42">
        <v>188</v>
      </c>
      <c r="G42">
        <v>188</v>
      </c>
      <c r="H42">
        <v>1.2539532195514891</v>
      </c>
      <c r="I42">
        <v>0.45081657394355779</v>
      </c>
      <c r="J42">
        <v>95.217598401301757</v>
      </c>
      <c r="K42">
        <v>37.239858223187731</v>
      </c>
      <c r="L42">
        <v>1.2485408777375571</v>
      </c>
      <c r="M42">
        <v>0.44877410188097672</v>
      </c>
      <c r="N42">
        <v>95.217598401315087</v>
      </c>
      <c r="O42">
        <v>37.339297273981472</v>
      </c>
      <c r="P42" s="3">
        <f t="shared" si="1"/>
        <v>4.3349336096544632E-3</v>
      </c>
      <c r="Q42" s="3">
        <f t="shared" si="2"/>
        <v>4.55122533591025E-3</v>
      </c>
      <c r="R42" s="3">
        <f t="shared" si="3"/>
        <v>1.3999283689847166E-13</v>
      </c>
      <c r="S42" s="3">
        <f t="shared" si="4"/>
        <v>2.6631205741258425E-3</v>
      </c>
    </row>
    <row r="43" spans="1:19" x14ac:dyDescent="0.2">
      <c r="A43" t="s">
        <v>103</v>
      </c>
      <c r="B43" t="s">
        <v>16</v>
      </c>
      <c r="C43" t="s">
        <v>93</v>
      </c>
      <c r="D43">
        <v>6</v>
      </c>
      <c r="E43" t="s">
        <v>104</v>
      </c>
      <c r="F43">
        <v>368</v>
      </c>
      <c r="G43">
        <v>368</v>
      </c>
      <c r="H43">
        <v>1.2117345286777901</v>
      </c>
      <c r="I43">
        <v>0.35786309311923348</v>
      </c>
      <c r="J43">
        <v>89.400686290396905</v>
      </c>
      <c r="K43">
        <v>38.241007342208157</v>
      </c>
      <c r="L43">
        <v>1.1937142416350901</v>
      </c>
      <c r="M43">
        <v>0.31390861365668399</v>
      </c>
      <c r="N43">
        <v>89.400686290396948</v>
      </c>
      <c r="O43">
        <v>38.29307136542544</v>
      </c>
      <c r="P43" s="3">
        <f t="shared" si="1"/>
        <v>1.5095980607567092E-2</v>
      </c>
      <c r="Q43" s="3">
        <f t="shared" si="2"/>
        <v>0.14002317091757693</v>
      </c>
      <c r="R43" s="3">
        <f t="shared" si="3"/>
        <v>4.7687065854421102E-16</v>
      </c>
      <c r="S43" s="3">
        <f t="shared" si="4"/>
        <v>1.3596199354301995E-3</v>
      </c>
    </row>
    <row r="44" spans="1:19" x14ac:dyDescent="0.2">
      <c r="A44" t="s">
        <v>105</v>
      </c>
      <c r="B44" t="s">
        <v>16</v>
      </c>
      <c r="C44" t="s">
        <v>93</v>
      </c>
      <c r="D44">
        <v>7</v>
      </c>
      <c r="E44" t="s">
        <v>106</v>
      </c>
      <c r="F44">
        <v>294</v>
      </c>
      <c r="G44">
        <v>294</v>
      </c>
      <c r="H44">
        <v>1.2819240273205981</v>
      </c>
      <c r="I44">
        <v>0.51273722619348838</v>
      </c>
      <c r="J44">
        <v>91.633491660986607</v>
      </c>
      <c r="K44">
        <v>36.394553794672568</v>
      </c>
      <c r="L44">
        <v>1.285490871959595</v>
      </c>
      <c r="M44">
        <v>0.4994590450982106</v>
      </c>
      <c r="N44">
        <v>91.633491660988739</v>
      </c>
      <c r="O44">
        <v>36.456607639899509</v>
      </c>
      <c r="P44" s="3">
        <f t="shared" si="1"/>
        <v>2.7746946452911381E-3</v>
      </c>
      <c r="Q44" s="3">
        <f t="shared" si="2"/>
        <v>2.6585124897811882E-2</v>
      </c>
      <c r="R44" s="3">
        <f t="shared" si="3"/>
        <v>2.3262544825494211E-14</v>
      </c>
      <c r="S44" s="3">
        <f t="shared" si="4"/>
        <v>1.7021288936117948E-3</v>
      </c>
    </row>
    <row r="45" spans="1:19" x14ac:dyDescent="0.2">
      <c r="A45" t="s">
        <v>107</v>
      </c>
      <c r="B45" t="s">
        <v>16</v>
      </c>
      <c r="C45" t="s">
        <v>93</v>
      </c>
      <c r="D45">
        <v>8</v>
      </c>
      <c r="E45" t="s">
        <v>108</v>
      </c>
      <c r="F45">
        <v>333</v>
      </c>
      <c r="G45">
        <v>333</v>
      </c>
      <c r="H45">
        <v>1.245941489175912</v>
      </c>
      <c r="I45">
        <v>0.44876948672772488</v>
      </c>
      <c r="J45">
        <v>92.316409493015513</v>
      </c>
      <c r="K45">
        <v>33.657881873731156</v>
      </c>
      <c r="L45">
        <v>1.26838347215477</v>
      </c>
      <c r="M45">
        <v>0.52279042025108724</v>
      </c>
      <c r="N45">
        <v>92.316409493005764</v>
      </c>
      <c r="O45">
        <v>33.708533342386708</v>
      </c>
      <c r="P45" s="3">
        <f t="shared" si="1"/>
        <v>1.7693373866448189E-2</v>
      </c>
      <c r="Q45" s="3">
        <f t="shared" si="2"/>
        <v>0.14158815972146427</v>
      </c>
      <c r="R45" s="3">
        <f t="shared" si="3"/>
        <v>1.0560036279754974E-13</v>
      </c>
      <c r="S45" s="3">
        <f t="shared" si="4"/>
        <v>1.5026304509030764E-3</v>
      </c>
    </row>
    <row r="46" spans="1:19" x14ac:dyDescent="0.2">
      <c r="A46" t="s">
        <v>109</v>
      </c>
      <c r="B46" t="s">
        <v>16</v>
      </c>
      <c r="C46" t="s">
        <v>93</v>
      </c>
      <c r="D46">
        <v>9</v>
      </c>
      <c r="E46" t="s">
        <v>110</v>
      </c>
      <c r="F46">
        <v>319</v>
      </c>
      <c r="G46">
        <v>317</v>
      </c>
      <c r="H46">
        <v>1.253557561388877</v>
      </c>
      <c r="I46">
        <v>0.4787694264878577</v>
      </c>
      <c r="J46">
        <v>91.229452554833074</v>
      </c>
      <c r="K46">
        <v>37.365162247840921</v>
      </c>
      <c r="L46">
        <v>1.2564380246962381</v>
      </c>
      <c r="M46">
        <v>0.47246123597689921</v>
      </c>
      <c r="N46">
        <v>90.657481065469483</v>
      </c>
      <c r="O46">
        <v>37.99712462739199</v>
      </c>
      <c r="P46" s="3">
        <f t="shared" si="1"/>
        <v>2.2925629842009353E-3</v>
      </c>
      <c r="Q46" s="3">
        <f t="shared" si="2"/>
        <v>1.335176313018604E-2</v>
      </c>
      <c r="R46" s="3">
        <f t="shared" si="3"/>
        <v>6.3091482648909509E-3</v>
      </c>
      <c r="S46" s="3">
        <f t="shared" si="4"/>
        <v>1.6631847429199681E-2</v>
      </c>
    </row>
    <row r="47" spans="1:19" x14ac:dyDescent="0.2">
      <c r="A47" t="s">
        <v>111</v>
      </c>
      <c r="B47" t="s">
        <v>112</v>
      </c>
      <c r="C47" t="s">
        <v>17</v>
      </c>
      <c r="D47">
        <v>1</v>
      </c>
      <c r="E47" t="s">
        <v>18</v>
      </c>
      <c r="F47">
        <v>64</v>
      </c>
      <c r="G47">
        <v>64</v>
      </c>
      <c r="H47">
        <v>1.478938986576753</v>
      </c>
      <c r="I47">
        <v>0.68647738484851051</v>
      </c>
      <c r="J47">
        <v>98.149070869743525</v>
      </c>
      <c r="K47">
        <v>26.88242550392836</v>
      </c>
      <c r="L47">
        <v>1.4968720437972991</v>
      </c>
      <c r="M47">
        <v>0.75556612386493638</v>
      </c>
      <c r="N47">
        <v>98.149070869743539</v>
      </c>
      <c r="O47">
        <v>27.094938103472249</v>
      </c>
      <c r="P47" s="3">
        <f t="shared" si="1"/>
        <v>1.1980354162439342E-2</v>
      </c>
      <c r="Q47" s="3">
        <f t="shared" si="2"/>
        <v>9.1439699100083066E-2</v>
      </c>
      <c r="R47" s="3">
        <f t="shared" si="3"/>
        <v>1.4478847929250027E-16</v>
      </c>
      <c r="S47" s="3">
        <f t="shared" si="4"/>
        <v>7.8432583507786219E-3</v>
      </c>
    </row>
    <row r="48" spans="1:19" x14ac:dyDescent="0.2">
      <c r="A48" t="s">
        <v>113</v>
      </c>
      <c r="B48" t="s">
        <v>112</v>
      </c>
      <c r="C48" t="s">
        <v>17</v>
      </c>
      <c r="D48">
        <v>2</v>
      </c>
      <c r="E48" t="s">
        <v>20</v>
      </c>
      <c r="F48">
        <v>1679</v>
      </c>
      <c r="G48">
        <v>1679</v>
      </c>
      <c r="H48">
        <v>1.296453557980459</v>
      </c>
      <c r="I48">
        <v>0.68166553854162937</v>
      </c>
      <c r="J48">
        <v>94.675532435508984</v>
      </c>
      <c r="K48">
        <v>35.018570578951213</v>
      </c>
      <c r="L48">
        <v>1.2947994837400609</v>
      </c>
      <c r="M48">
        <v>0.6471025287625497</v>
      </c>
      <c r="N48">
        <v>94.67553243555578</v>
      </c>
      <c r="O48">
        <v>35.029003640580378</v>
      </c>
      <c r="P48" s="3">
        <f t="shared" si="1"/>
        <v>1.2774752084548726E-3</v>
      </c>
      <c r="Q48" s="3">
        <f t="shared" si="2"/>
        <v>5.3411952886622628E-2</v>
      </c>
      <c r="R48" s="3">
        <f t="shared" si="3"/>
        <v>4.9428129288856937E-13</v>
      </c>
      <c r="S48" s="3">
        <f t="shared" si="4"/>
        <v>2.9784066187592929E-4</v>
      </c>
    </row>
    <row r="49" spans="1:19" x14ac:dyDescent="0.2">
      <c r="A49" t="s">
        <v>114</v>
      </c>
      <c r="B49" t="s">
        <v>112</v>
      </c>
      <c r="C49" t="s">
        <v>17</v>
      </c>
      <c r="D49">
        <v>3</v>
      </c>
      <c r="E49" t="s">
        <v>22</v>
      </c>
      <c r="F49">
        <v>851</v>
      </c>
      <c r="G49">
        <v>851</v>
      </c>
      <c r="H49">
        <v>1.2946017568936889</v>
      </c>
      <c r="I49">
        <v>0.67444136880010275</v>
      </c>
      <c r="J49">
        <v>94.85407065048166</v>
      </c>
      <c r="K49">
        <v>34.6330268381762</v>
      </c>
      <c r="L49">
        <v>1.289836316275941</v>
      </c>
      <c r="M49">
        <v>0.67141912880816657</v>
      </c>
      <c r="N49">
        <v>94.85407065049111</v>
      </c>
      <c r="O49">
        <v>34.653393218546682</v>
      </c>
      <c r="P49" s="3">
        <f t="shared" si="1"/>
        <v>3.6946088101371768E-3</v>
      </c>
      <c r="Q49" s="3">
        <f t="shared" si="2"/>
        <v>4.5012718021617115E-3</v>
      </c>
      <c r="R49" s="3">
        <f t="shared" si="3"/>
        <v>9.9629022990806179E-14</v>
      </c>
      <c r="S49" s="3">
        <f t="shared" si="4"/>
        <v>5.8771677111211661E-4</v>
      </c>
    </row>
    <row r="50" spans="1:19" x14ac:dyDescent="0.2">
      <c r="A50" t="s">
        <v>115</v>
      </c>
      <c r="B50" t="s">
        <v>112</v>
      </c>
      <c r="C50" t="s">
        <v>17</v>
      </c>
      <c r="D50">
        <v>4</v>
      </c>
      <c r="E50" t="s">
        <v>24</v>
      </c>
      <c r="F50">
        <v>829</v>
      </c>
      <c r="G50">
        <v>829</v>
      </c>
      <c r="H50">
        <v>1.3119424685683621</v>
      </c>
      <c r="I50">
        <v>0.71229189141973603</v>
      </c>
      <c r="J50">
        <v>94.645700090334273</v>
      </c>
      <c r="K50">
        <v>35.521416350405403</v>
      </c>
      <c r="L50">
        <v>1.3148785162258561</v>
      </c>
      <c r="M50">
        <v>0.65069929195110754</v>
      </c>
      <c r="N50">
        <v>94.645700090366489</v>
      </c>
      <c r="O50">
        <v>35.54286000844521</v>
      </c>
      <c r="P50" s="3">
        <f t="shared" si="1"/>
        <v>2.232942147325858E-3</v>
      </c>
      <c r="Q50" s="3">
        <f t="shared" si="2"/>
        <v>9.4656011202877505E-2</v>
      </c>
      <c r="R50" s="3">
        <f t="shared" si="3"/>
        <v>3.4038532768634513E-13</v>
      </c>
      <c r="S50" s="3">
        <f t="shared" si="4"/>
        <v>6.0331830456840103E-4</v>
      </c>
    </row>
    <row r="51" spans="1:19" x14ac:dyDescent="0.2">
      <c r="A51" t="s">
        <v>116</v>
      </c>
      <c r="B51" t="s">
        <v>112</v>
      </c>
      <c r="C51" t="s">
        <v>17</v>
      </c>
      <c r="D51">
        <v>5</v>
      </c>
      <c r="E51" t="s">
        <v>26</v>
      </c>
      <c r="F51">
        <v>593</v>
      </c>
      <c r="G51">
        <v>593</v>
      </c>
      <c r="H51">
        <v>1.275970262591781</v>
      </c>
      <c r="I51">
        <v>0.50517798388631008</v>
      </c>
      <c r="J51">
        <v>96.101792883250894</v>
      </c>
      <c r="K51">
        <v>35.183385658934462</v>
      </c>
      <c r="L51">
        <v>1.26653372168296</v>
      </c>
      <c r="M51">
        <v>0.49796251057617191</v>
      </c>
      <c r="N51">
        <v>96.101792883252287</v>
      </c>
      <c r="O51">
        <v>35.213088818013752</v>
      </c>
      <c r="P51" s="3">
        <f t="shared" si="1"/>
        <v>7.4506827155631245E-3</v>
      </c>
      <c r="Q51" s="3">
        <f t="shared" si="2"/>
        <v>1.4489993035398264E-2</v>
      </c>
      <c r="R51" s="3">
        <f t="shared" si="3"/>
        <v>1.4491548183514655E-14</v>
      </c>
      <c r="S51" s="3">
        <f t="shared" si="4"/>
        <v>8.4352608863141551E-4</v>
      </c>
    </row>
    <row r="52" spans="1:19" x14ac:dyDescent="0.2">
      <c r="A52" t="s">
        <v>117</v>
      </c>
      <c r="B52" t="s">
        <v>112</v>
      </c>
      <c r="C52" t="s">
        <v>17</v>
      </c>
      <c r="D52">
        <v>6</v>
      </c>
      <c r="E52" t="s">
        <v>28</v>
      </c>
      <c r="F52">
        <v>537</v>
      </c>
      <c r="G52">
        <v>537</v>
      </c>
      <c r="H52">
        <v>1.2942049225322869</v>
      </c>
      <c r="I52">
        <v>0.54537481940406296</v>
      </c>
      <c r="J52">
        <v>93.175892605687537</v>
      </c>
      <c r="K52">
        <v>34.571254597167467</v>
      </c>
      <c r="L52">
        <v>1.303128312327134</v>
      </c>
      <c r="M52">
        <v>0.54997175465960613</v>
      </c>
      <c r="N52">
        <v>93.17589260569757</v>
      </c>
      <c r="O52">
        <v>34.603488874197083</v>
      </c>
      <c r="P52" s="3">
        <f t="shared" si="1"/>
        <v>6.8476678086378468E-3</v>
      </c>
      <c r="Q52" s="3">
        <f t="shared" si="2"/>
        <v>8.3584933527874467E-3</v>
      </c>
      <c r="R52" s="3">
        <f t="shared" si="3"/>
        <v>1.0767660119329105E-13</v>
      </c>
      <c r="S52" s="3">
        <f t="shared" si="4"/>
        <v>9.3153257311150107E-4</v>
      </c>
    </row>
    <row r="53" spans="1:19" x14ac:dyDescent="0.2">
      <c r="A53" t="s">
        <v>118</v>
      </c>
      <c r="B53" t="s">
        <v>112</v>
      </c>
      <c r="C53" t="s">
        <v>17</v>
      </c>
      <c r="D53">
        <v>7</v>
      </c>
      <c r="E53" t="s">
        <v>30</v>
      </c>
      <c r="F53">
        <v>280</v>
      </c>
      <c r="G53">
        <v>280</v>
      </c>
      <c r="H53">
        <v>1.3394688294478221</v>
      </c>
      <c r="I53">
        <v>0.93558690348784845</v>
      </c>
      <c r="J53">
        <v>95.910306344901883</v>
      </c>
      <c r="K53">
        <v>33.912615985444639</v>
      </c>
      <c r="L53">
        <v>1.3281567931961999</v>
      </c>
      <c r="M53">
        <v>0.92993776502613812</v>
      </c>
      <c r="N53">
        <v>95.910306344905763</v>
      </c>
      <c r="O53">
        <v>33.973336922117667</v>
      </c>
      <c r="P53" s="3">
        <f t="shared" si="1"/>
        <v>8.5170939979155643E-3</v>
      </c>
      <c r="Q53" s="3">
        <f t="shared" si="2"/>
        <v>6.0747489500564073E-3</v>
      </c>
      <c r="R53" s="3">
        <f t="shared" si="3"/>
        <v>4.0449910808320637E-14</v>
      </c>
      <c r="S53" s="3">
        <f t="shared" si="4"/>
        <v>1.7873115264546663E-3</v>
      </c>
    </row>
    <row r="54" spans="1:19" x14ac:dyDescent="0.2">
      <c r="A54" t="s">
        <v>119</v>
      </c>
      <c r="B54" t="s">
        <v>112</v>
      </c>
      <c r="C54" t="s">
        <v>17</v>
      </c>
      <c r="D54">
        <v>8</v>
      </c>
      <c r="E54" t="s">
        <v>32</v>
      </c>
      <c r="F54">
        <v>269</v>
      </c>
      <c r="G54">
        <v>269</v>
      </c>
      <c r="H54">
        <v>1.3719948587657</v>
      </c>
      <c r="I54">
        <v>1.0128620024968571</v>
      </c>
      <c r="J54">
        <v>92.404580411614873</v>
      </c>
      <c r="K54">
        <v>35.439192299747567</v>
      </c>
      <c r="L54">
        <v>1.3476327851964249</v>
      </c>
      <c r="M54">
        <v>0.82526615685558313</v>
      </c>
      <c r="N54">
        <v>92.4045804116287</v>
      </c>
      <c r="O54">
        <v>35.505248633469563</v>
      </c>
      <c r="P54" s="3">
        <f t="shared" si="1"/>
        <v>1.8077679496142716E-2</v>
      </c>
      <c r="Q54" s="3">
        <f t="shared" si="2"/>
        <v>0.22731556853857776</v>
      </c>
      <c r="R54" s="3">
        <f t="shared" si="3"/>
        <v>1.4963718872264327E-13</v>
      </c>
      <c r="S54" s="3">
        <f t="shared" si="4"/>
        <v>1.8604667271566852E-3</v>
      </c>
    </row>
    <row r="55" spans="1:19" x14ac:dyDescent="0.2">
      <c r="A55" t="s">
        <v>120</v>
      </c>
      <c r="B55" t="s">
        <v>112</v>
      </c>
      <c r="C55" t="s">
        <v>34</v>
      </c>
      <c r="D55">
        <v>1</v>
      </c>
      <c r="E55" t="s">
        <v>35</v>
      </c>
      <c r="F55">
        <v>228</v>
      </c>
      <c r="G55">
        <v>228</v>
      </c>
      <c r="H55">
        <v>1.28676233898113</v>
      </c>
      <c r="I55">
        <v>0.79897891868898085</v>
      </c>
      <c r="J55">
        <v>96.476762111065881</v>
      </c>
      <c r="K55">
        <v>35.051714445307333</v>
      </c>
      <c r="L55">
        <v>1.2756449006921731</v>
      </c>
      <c r="M55">
        <v>0.79239532275072833</v>
      </c>
      <c r="N55">
        <v>96.476762111079708</v>
      </c>
      <c r="O55">
        <v>35.12883602247377</v>
      </c>
      <c r="P55" s="3">
        <f t="shared" si="1"/>
        <v>8.715151279893453E-3</v>
      </c>
      <c r="Q55" s="3">
        <f t="shared" si="2"/>
        <v>8.3084740018380902E-3</v>
      </c>
      <c r="R55" s="3">
        <f t="shared" si="3"/>
        <v>1.4332116185627661E-13</v>
      </c>
      <c r="S55" s="3">
        <f t="shared" si="4"/>
        <v>2.1953923300247853E-3</v>
      </c>
    </row>
    <row r="56" spans="1:19" x14ac:dyDescent="0.2">
      <c r="A56" t="s">
        <v>121</v>
      </c>
      <c r="B56" t="s">
        <v>112</v>
      </c>
      <c r="C56" t="s">
        <v>34</v>
      </c>
      <c r="D56">
        <v>2</v>
      </c>
      <c r="E56" t="s">
        <v>37</v>
      </c>
      <c r="F56">
        <v>205</v>
      </c>
      <c r="G56">
        <v>205</v>
      </c>
      <c r="H56">
        <v>1.341555415987052</v>
      </c>
      <c r="I56">
        <v>0.98986539169885301</v>
      </c>
      <c r="J56">
        <v>97.051613361111635</v>
      </c>
      <c r="K56">
        <v>32.277288619288861</v>
      </c>
      <c r="L56">
        <v>1.3200431194517681</v>
      </c>
      <c r="M56">
        <v>0.97977095921804758</v>
      </c>
      <c r="N56">
        <v>97.051613361110057</v>
      </c>
      <c r="O56">
        <v>32.35630290795568</v>
      </c>
      <c r="P56" s="3">
        <f t="shared" si="1"/>
        <v>1.6296661994055321E-2</v>
      </c>
      <c r="Q56" s="3">
        <f t="shared" si="2"/>
        <v>1.0302849238215608E-2</v>
      </c>
      <c r="R56" s="3">
        <f t="shared" si="3"/>
        <v>1.6253257609620642E-14</v>
      </c>
      <c r="S56" s="3">
        <f t="shared" si="4"/>
        <v>2.4420060873948436E-3</v>
      </c>
    </row>
    <row r="57" spans="1:19" x14ac:dyDescent="0.2">
      <c r="A57" t="s">
        <v>122</v>
      </c>
      <c r="B57" t="s">
        <v>112</v>
      </c>
      <c r="C57" t="s">
        <v>34</v>
      </c>
      <c r="D57">
        <v>3</v>
      </c>
      <c r="E57" t="s">
        <v>39</v>
      </c>
      <c r="F57">
        <v>225</v>
      </c>
      <c r="G57">
        <v>225</v>
      </c>
      <c r="H57">
        <v>1.2703847396400449</v>
      </c>
      <c r="I57">
        <v>0.55755888857909985</v>
      </c>
      <c r="J57">
        <v>93.374613562369078</v>
      </c>
      <c r="K57">
        <v>37.428466284938928</v>
      </c>
      <c r="L57">
        <v>1.28053827774091</v>
      </c>
      <c r="M57">
        <v>0.58564182234682427</v>
      </c>
      <c r="N57">
        <v>93.374613562379466</v>
      </c>
      <c r="O57">
        <v>37.51191893320393</v>
      </c>
      <c r="P57" s="3">
        <f t="shared" si="1"/>
        <v>7.9291172137217533E-3</v>
      </c>
      <c r="Q57" s="3">
        <f t="shared" si="2"/>
        <v>4.7952404859319217E-2</v>
      </c>
      <c r="R57" s="3">
        <f t="shared" si="3"/>
        <v>1.1125223870268346E-13</v>
      </c>
      <c r="S57" s="3">
        <f t="shared" si="4"/>
        <v>2.2246968600460825E-3</v>
      </c>
    </row>
    <row r="58" spans="1:19" x14ac:dyDescent="0.2">
      <c r="A58" t="s">
        <v>123</v>
      </c>
      <c r="B58" t="s">
        <v>112</v>
      </c>
      <c r="C58" t="s">
        <v>34</v>
      </c>
      <c r="D58">
        <v>4</v>
      </c>
      <c r="E58" t="s">
        <v>41</v>
      </c>
      <c r="F58">
        <v>203</v>
      </c>
      <c r="G58">
        <v>203</v>
      </c>
      <c r="H58">
        <v>1.301808288667355</v>
      </c>
      <c r="I58">
        <v>0.56075912851420606</v>
      </c>
      <c r="J58">
        <v>92.681800113915799</v>
      </c>
      <c r="K58">
        <v>35.045406421209222</v>
      </c>
      <c r="L58">
        <v>1.31964805216451</v>
      </c>
      <c r="M58">
        <v>0.57790541573817422</v>
      </c>
      <c r="N58">
        <v>92.681800113934145</v>
      </c>
      <c r="O58">
        <v>35.132045382640626</v>
      </c>
      <c r="P58" s="3">
        <f t="shared" si="1"/>
        <v>1.3518576765898982E-2</v>
      </c>
      <c r="Q58" s="3">
        <f t="shared" si="2"/>
        <v>2.9669711958083562E-2</v>
      </c>
      <c r="R58" s="3">
        <f t="shared" si="3"/>
        <v>1.9794839347933149E-13</v>
      </c>
      <c r="S58" s="3">
        <f t="shared" si="4"/>
        <v>2.4660949992457411E-3</v>
      </c>
    </row>
    <row r="59" spans="1:19" x14ac:dyDescent="0.2">
      <c r="A59" t="s">
        <v>124</v>
      </c>
      <c r="B59" t="s">
        <v>112</v>
      </c>
      <c r="C59" t="s">
        <v>34</v>
      </c>
      <c r="D59">
        <v>5</v>
      </c>
      <c r="E59" t="s">
        <v>43</v>
      </c>
      <c r="F59">
        <v>208</v>
      </c>
      <c r="G59">
        <v>208</v>
      </c>
      <c r="H59">
        <v>1.3159800823385419</v>
      </c>
      <c r="I59">
        <v>0.58858895211093953</v>
      </c>
      <c r="J59">
        <v>94.539249534184819</v>
      </c>
      <c r="K59">
        <v>34.876379464604739</v>
      </c>
      <c r="L59">
        <v>1.3271548289518009</v>
      </c>
      <c r="M59">
        <v>0.59800336476170812</v>
      </c>
      <c r="N59">
        <v>94.53924953415563</v>
      </c>
      <c r="O59">
        <v>34.96052042999149</v>
      </c>
      <c r="P59" s="3">
        <f t="shared" si="1"/>
        <v>8.4200775745848205E-3</v>
      </c>
      <c r="Q59" s="3">
        <f t="shared" si="2"/>
        <v>1.5743076386401329E-2</v>
      </c>
      <c r="R59" s="3">
        <f t="shared" si="3"/>
        <v>3.0875108199879807E-13</v>
      </c>
      <c r="S59" s="3">
        <f t="shared" si="4"/>
        <v>2.4067423582908036E-3</v>
      </c>
    </row>
    <row r="60" spans="1:19" x14ac:dyDescent="0.2">
      <c r="A60" t="s">
        <v>125</v>
      </c>
      <c r="B60" t="s">
        <v>112</v>
      </c>
      <c r="C60" t="s">
        <v>34</v>
      </c>
      <c r="D60">
        <v>6</v>
      </c>
      <c r="E60" t="s">
        <v>45</v>
      </c>
      <c r="F60">
        <v>198</v>
      </c>
      <c r="G60">
        <v>198</v>
      </c>
      <c r="H60">
        <v>1.3083324963043019</v>
      </c>
      <c r="I60">
        <v>0.97245423419053056</v>
      </c>
      <c r="J60">
        <v>95.027672322474942</v>
      </c>
      <c r="K60">
        <v>35.408018390908339</v>
      </c>
      <c r="L60">
        <v>1.307895520080999</v>
      </c>
      <c r="M60">
        <v>0.7526568716190819</v>
      </c>
      <c r="N60">
        <v>95.027672322484975</v>
      </c>
      <c r="O60">
        <v>35.497772700652497</v>
      </c>
      <c r="P60" s="3">
        <f t="shared" si="1"/>
        <v>3.3410636904383827E-4</v>
      </c>
      <c r="Q60" s="3">
        <f t="shared" si="2"/>
        <v>0.29202863995465872</v>
      </c>
      <c r="R60" s="3">
        <f t="shared" si="3"/>
        <v>1.0557833506523435E-13</v>
      </c>
      <c r="S60" s="3">
        <f t="shared" si="4"/>
        <v>2.5284490523121927E-3</v>
      </c>
    </row>
    <row r="61" spans="1:19" x14ac:dyDescent="0.2">
      <c r="A61" t="s">
        <v>126</v>
      </c>
      <c r="B61" t="s">
        <v>112</v>
      </c>
      <c r="C61" t="s">
        <v>34</v>
      </c>
      <c r="D61">
        <v>7</v>
      </c>
      <c r="E61" t="s">
        <v>47</v>
      </c>
      <c r="F61">
        <v>210</v>
      </c>
      <c r="G61">
        <v>210</v>
      </c>
      <c r="H61">
        <v>1.3566166628091549</v>
      </c>
      <c r="I61">
        <v>0.70434927992357499</v>
      </c>
      <c r="J61">
        <v>97.204171556973975</v>
      </c>
      <c r="K61">
        <v>33.557277432637513</v>
      </c>
      <c r="L61">
        <v>1.3620685016572931</v>
      </c>
      <c r="M61">
        <v>0.70910258990801833</v>
      </c>
      <c r="N61">
        <v>97.204171557023599</v>
      </c>
      <c r="O61">
        <v>33.637462200304277</v>
      </c>
      <c r="P61" s="3">
        <f t="shared" si="1"/>
        <v>4.0026172263029703E-3</v>
      </c>
      <c r="Q61" s="3">
        <f t="shared" si="2"/>
        <v>6.703275452794386E-3</v>
      </c>
      <c r="R61" s="3">
        <f t="shared" si="3"/>
        <v>5.1051620388919135E-13</v>
      </c>
      <c r="S61" s="3">
        <f t="shared" si="4"/>
        <v>2.3837936164530131E-3</v>
      </c>
    </row>
    <row r="62" spans="1:19" x14ac:dyDescent="0.2">
      <c r="A62" t="s">
        <v>127</v>
      </c>
      <c r="B62" t="s">
        <v>112</v>
      </c>
      <c r="C62" t="s">
        <v>34</v>
      </c>
      <c r="D62">
        <v>8</v>
      </c>
      <c r="E62" t="s">
        <v>49</v>
      </c>
      <c r="F62">
        <v>216</v>
      </c>
      <c r="G62">
        <v>216</v>
      </c>
      <c r="H62">
        <v>1.2736050310647169</v>
      </c>
      <c r="I62">
        <v>0.48714442306310002</v>
      </c>
      <c r="J62">
        <v>95.498116168826456</v>
      </c>
      <c r="K62">
        <v>37.011217372188938</v>
      </c>
      <c r="L62">
        <v>1.2781757051000291</v>
      </c>
      <c r="M62">
        <v>0.49014932023206098</v>
      </c>
      <c r="N62">
        <v>95.49811616884115</v>
      </c>
      <c r="O62">
        <v>37.097190118370861</v>
      </c>
      <c r="P62" s="3">
        <f t="shared" si="1"/>
        <v>3.5759356222112644E-3</v>
      </c>
      <c r="Q62" s="3">
        <f t="shared" si="2"/>
        <v>6.1305750001617778E-3</v>
      </c>
      <c r="R62" s="3">
        <f t="shared" si="3"/>
        <v>1.5386715848446437E-13</v>
      </c>
      <c r="S62" s="3">
        <f t="shared" si="4"/>
        <v>2.3175002178763083E-3</v>
      </c>
    </row>
    <row r="63" spans="1:19" x14ac:dyDescent="0.2">
      <c r="A63" t="s">
        <v>128</v>
      </c>
      <c r="B63" t="s">
        <v>112</v>
      </c>
      <c r="C63" t="s">
        <v>34</v>
      </c>
      <c r="D63">
        <v>9</v>
      </c>
      <c r="E63" t="s">
        <v>51</v>
      </c>
      <c r="F63">
        <v>438</v>
      </c>
      <c r="G63">
        <v>438</v>
      </c>
      <c r="H63">
        <v>1.285214982282376</v>
      </c>
      <c r="I63">
        <v>0.67490515718268185</v>
      </c>
      <c r="J63">
        <v>95.666860883417087</v>
      </c>
      <c r="K63">
        <v>36.08067481838625</v>
      </c>
      <c r="L63">
        <v>1.279589125440046</v>
      </c>
      <c r="M63">
        <v>0.67116472623642898</v>
      </c>
      <c r="N63">
        <v>95.666860883423382</v>
      </c>
      <c r="O63">
        <v>36.121933465166698</v>
      </c>
      <c r="P63" s="3">
        <f t="shared" si="1"/>
        <v>4.3966119518210637E-3</v>
      </c>
      <c r="Q63" s="3">
        <f t="shared" si="2"/>
        <v>5.5730445895561583E-3</v>
      </c>
      <c r="R63" s="3">
        <f t="shared" si="3"/>
        <v>6.5805531619835152E-14</v>
      </c>
      <c r="S63" s="3">
        <f t="shared" si="4"/>
        <v>1.1422048274419068E-3</v>
      </c>
    </row>
    <row r="64" spans="1:19" x14ac:dyDescent="0.2">
      <c r="A64" t="s">
        <v>129</v>
      </c>
      <c r="B64" t="s">
        <v>112</v>
      </c>
      <c r="C64" t="s">
        <v>34</v>
      </c>
      <c r="D64">
        <v>10</v>
      </c>
      <c r="E64" t="s">
        <v>53</v>
      </c>
      <c r="F64">
        <v>414</v>
      </c>
      <c r="G64">
        <v>414</v>
      </c>
      <c r="H64">
        <v>1.2882373328038861</v>
      </c>
      <c r="I64">
        <v>0.51113157141909926</v>
      </c>
      <c r="J64">
        <v>93.439163851131184</v>
      </c>
      <c r="K64">
        <v>34.417041395491367</v>
      </c>
      <c r="L64">
        <v>1.29717627263698</v>
      </c>
      <c r="M64">
        <v>0.52131473292817088</v>
      </c>
      <c r="N64">
        <v>93.439163851142823</v>
      </c>
      <c r="O64">
        <v>34.458683324094608</v>
      </c>
      <c r="P64" s="3">
        <f t="shared" si="1"/>
        <v>6.8910756553712451E-3</v>
      </c>
      <c r="Q64" s="3">
        <f t="shared" si="2"/>
        <v>1.9533615426277809E-2</v>
      </c>
      <c r="R64" s="3">
        <f t="shared" si="3"/>
        <v>1.2455901285987472E-13</v>
      </c>
      <c r="S64" s="3">
        <f t="shared" si="4"/>
        <v>1.2084596562087276E-3</v>
      </c>
    </row>
    <row r="65" spans="1:19" x14ac:dyDescent="0.2">
      <c r="A65" t="s">
        <v>130</v>
      </c>
      <c r="B65" t="s">
        <v>112</v>
      </c>
      <c r="C65" t="s">
        <v>55</v>
      </c>
      <c r="D65">
        <v>1</v>
      </c>
      <c r="E65" t="s">
        <v>56</v>
      </c>
      <c r="F65">
        <v>64</v>
      </c>
      <c r="G65">
        <v>64</v>
      </c>
      <c r="H65">
        <v>1.478938986576753</v>
      </c>
      <c r="I65">
        <v>0.68647738484851051</v>
      </c>
      <c r="J65">
        <v>98.149070869743525</v>
      </c>
      <c r="K65">
        <v>26.88242550392836</v>
      </c>
      <c r="L65">
        <v>1.4968720437972991</v>
      </c>
      <c r="M65">
        <v>0.75556612386493638</v>
      </c>
      <c r="N65">
        <v>98.149070869743539</v>
      </c>
      <c r="O65">
        <v>27.094938103472249</v>
      </c>
      <c r="P65" s="3">
        <f t="shared" si="1"/>
        <v>1.1980354162439342E-2</v>
      </c>
      <c r="Q65" s="3">
        <f t="shared" si="2"/>
        <v>9.1439699100083066E-2</v>
      </c>
      <c r="R65" s="3">
        <f t="shared" si="3"/>
        <v>1.4478847929250027E-16</v>
      </c>
      <c r="S65" s="3">
        <f t="shared" si="4"/>
        <v>7.8432583507786219E-3</v>
      </c>
    </row>
    <row r="66" spans="1:19" x14ac:dyDescent="0.2">
      <c r="A66" t="s">
        <v>131</v>
      </c>
      <c r="B66" t="s">
        <v>112</v>
      </c>
      <c r="C66" t="s">
        <v>55</v>
      </c>
      <c r="D66">
        <v>2</v>
      </c>
      <c r="E66" t="s">
        <v>58</v>
      </c>
      <c r="F66">
        <v>664</v>
      </c>
      <c r="G66">
        <v>664</v>
      </c>
      <c r="H66">
        <v>1.261877840908876</v>
      </c>
      <c r="I66">
        <v>0.4530506078461069</v>
      </c>
      <c r="J66">
        <v>95.133299792460775</v>
      </c>
      <c r="K66">
        <v>34.692139270324937</v>
      </c>
      <c r="L66">
        <v>1.2558544654818911</v>
      </c>
      <c r="M66">
        <v>0.45056649157756179</v>
      </c>
      <c r="N66">
        <v>95.13329979249913</v>
      </c>
      <c r="O66">
        <v>34.718292413323788</v>
      </c>
      <c r="P66" s="3">
        <f t="shared" si="1"/>
        <v>4.7962368192668581E-3</v>
      </c>
      <c r="Q66" s="3">
        <f t="shared" si="2"/>
        <v>5.513317823186344E-3</v>
      </c>
      <c r="R66" s="3">
        <f t="shared" si="3"/>
        <v>4.031721485535431E-13</v>
      </c>
      <c r="S66" s="3">
        <f t="shared" si="4"/>
        <v>7.5329577524999762E-4</v>
      </c>
    </row>
    <row r="67" spans="1:19" x14ac:dyDescent="0.2">
      <c r="A67" t="s">
        <v>132</v>
      </c>
      <c r="B67" t="s">
        <v>112</v>
      </c>
      <c r="C67" t="s">
        <v>55</v>
      </c>
      <c r="D67">
        <v>3</v>
      </c>
      <c r="E67" t="s">
        <v>60</v>
      </c>
      <c r="F67">
        <v>1013</v>
      </c>
      <c r="G67">
        <v>1013</v>
      </c>
      <c r="H67">
        <v>1.3307294338211531</v>
      </c>
      <c r="I67">
        <v>0.80604306238146362</v>
      </c>
      <c r="J67">
        <v>94.7026400834566</v>
      </c>
      <c r="K67">
        <v>35.450590592170677</v>
      </c>
      <c r="L67">
        <v>1.337642030424502</v>
      </c>
      <c r="M67">
        <v>0.76148836659655084</v>
      </c>
      <c r="N67">
        <v>94.702640083509266</v>
      </c>
      <c r="O67">
        <v>35.468101381387683</v>
      </c>
      <c r="P67" s="3">
        <f t="shared" ref="P67:P130" si="5">ABS(H67-L67)/L67</f>
        <v>5.1677477577130671E-3</v>
      </c>
      <c r="Q67" s="3">
        <f t="shared" si="2"/>
        <v>5.851001504336651E-2</v>
      </c>
      <c r="R67" s="3">
        <f t="shared" si="3"/>
        <v>5.5611361550320019E-13</v>
      </c>
      <c r="S67" s="3">
        <f t="shared" si="4"/>
        <v>4.9370528827334149E-4</v>
      </c>
    </row>
    <row r="68" spans="1:19" x14ac:dyDescent="0.2">
      <c r="A68" t="s">
        <v>133</v>
      </c>
      <c r="B68" t="s">
        <v>112</v>
      </c>
      <c r="C68" t="s">
        <v>62</v>
      </c>
      <c r="D68">
        <v>1</v>
      </c>
      <c r="E68" t="s">
        <v>63</v>
      </c>
      <c r="F68">
        <v>209</v>
      </c>
      <c r="G68">
        <v>209</v>
      </c>
      <c r="H68">
        <v>1.242834881651244</v>
      </c>
      <c r="I68">
        <v>0.3896339129326466</v>
      </c>
      <c r="J68">
        <v>94.626678819675476</v>
      </c>
      <c r="K68">
        <v>35.324557353370807</v>
      </c>
      <c r="L68">
        <v>1.246442809366118</v>
      </c>
      <c r="M68">
        <v>0.38714368153081091</v>
      </c>
      <c r="N68">
        <v>94.626678819683576</v>
      </c>
      <c r="O68">
        <v>35.409370338241111</v>
      </c>
      <c r="P68" s="3">
        <f t="shared" si="5"/>
        <v>2.8945794285650142E-3</v>
      </c>
      <c r="Q68" s="3">
        <f t="shared" si="2"/>
        <v>6.4323183371843293E-3</v>
      </c>
      <c r="R68" s="3">
        <f t="shared" si="3"/>
        <v>8.5601516281687337E-14</v>
      </c>
      <c r="S68" s="3">
        <f t="shared" si="4"/>
        <v>2.3952130201735969E-3</v>
      </c>
    </row>
    <row r="69" spans="1:19" x14ac:dyDescent="0.2">
      <c r="A69" t="s">
        <v>134</v>
      </c>
      <c r="B69" t="s">
        <v>112</v>
      </c>
      <c r="C69" t="s">
        <v>62</v>
      </c>
      <c r="D69">
        <v>2</v>
      </c>
      <c r="E69" t="s">
        <v>65</v>
      </c>
      <c r="F69">
        <v>183</v>
      </c>
      <c r="G69">
        <v>183</v>
      </c>
      <c r="H69">
        <v>1.347337493446531</v>
      </c>
      <c r="I69">
        <v>1.0111875871829421</v>
      </c>
      <c r="J69">
        <v>98.981463056463326</v>
      </c>
      <c r="K69">
        <v>34.625001349285967</v>
      </c>
      <c r="L69">
        <v>1.322060457095299</v>
      </c>
      <c r="M69">
        <v>0.99751994382312847</v>
      </c>
      <c r="N69">
        <v>98.981463056476343</v>
      </c>
      <c r="O69">
        <v>34.719994672776352</v>
      </c>
      <c r="P69" s="3">
        <f t="shared" si="5"/>
        <v>1.9119425451063134E-2</v>
      </c>
      <c r="Q69" s="3">
        <f t="shared" si="2"/>
        <v>1.3701624157438457E-2</v>
      </c>
      <c r="R69" s="3">
        <f t="shared" si="3"/>
        <v>1.3151091646016364E-13</v>
      </c>
      <c r="S69" s="3">
        <f t="shared" si="4"/>
        <v>2.7359832392160098E-3</v>
      </c>
    </row>
    <row r="70" spans="1:19" x14ac:dyDescent="0.2">
      <c r="A70" t="s">
        <v>135</v>
      </c>
      <c r="B70" t="s">
        <v>112</v>
      </c>
      <c r="C70" t="s">
        <v>62</v>
      </c>
      <c r="D70">
        <v>3</v>
      </c>
      <c r="E70" t="s">
        <v>67</v>
      </c>
      <c r="F70">
        <v>196</v>
      </c>
      <c r="G70">
        <v>196</v>
      </c>
      <c r="H70">
        <v>1.284281589272231</v>
      </c>
      <c r="I70">
        <v>0.59647215916630769</v>
      </c>
      <c r="J70">
        <v>95.096123484830073</v>
      </c>
      <c r="K70">
        <v>35.715303135016143</v>
      </c>
      <c r="L70">
        <v>1.2901937581839109</v>
      </c>
      <c r="M70">
        <v>0.60215430541352732</v>
      </c>
      <c r="N70">
        <v>95.096123484831395</v>
      </c>
      <c r="O70">
        <v>35.806763728112728</v>
      </c>
      <c r="P70" s="3">
        <f t="shared" si="5"/>
        <v>4.5823884003298229E-3</v>
      </c>
      <c r="Q70" s="3">
        <f t="shared" si="2"/>
        <v>9.4363624010251647E-3</v>
      </c>
      <c r="R70" s="3">
        <f t="shared" si="3"/>
        <v>1.3897616854220075E-14</v>
      </c>
      <c r="S70" s="3">
        <f t="shared" si="4"/>
        <v>2.5542825872525579E-3</v>
      </c>
    </row>
    <row r="71" spans="1:19" x14ac:dyDescent="0.2">
      <c r="A71" t="s">
        <v>136</v>
      </c>
      <c r="B71" t="s">
        <v>112</v>
      </c>
      <c r="C71" t="s">
        <v>62</v>
      </c>
      <c r="D71">
        <v>4</v>
      </c>
      <c r="E71" t="s">
        <v>69</v>
      </c>
      <c r="F71">
        <v>193</v>
      </c>
      <c r="G71">
        <v>193</v>
      </c>
      <c r="H71">
        <v>1.26715109273501</v>
      </c>
      <c r="I71">
        <v>0.52324599315372045</v>
      </c>
      <c r="J71">
        <v>92.026821704757154</v>
      </c>
      <c r="K71">
        <v>34.614300587054693</v>
      </c>
      <c r="L71">
        <v>1.292919576444737</v>
      </c>
      <c r="M71">
        <v>0.56744864672659223</v>
      </c>
      <c r="N71">
        <v>92.026821704776552</v>
      </c>
      <c r="O71">
        <v>34.704324927868512</v>
      </c>
      <c r="P71" s="3">
        <f t="shared" si="5"/>
        <v>1.9930461398523322E-2</v>
      </c>
      <c r="Q71" s="3">
        <f t="shared" si="2"/>
        <v>7.7897187398121473E-2</v>
      </c>
      <c r="R71" s="3">
        <f t="shared" si="3"/>
        <v>2.1078438141088069E-13</v>
      </c>
      <c r="S71" s="3">
        <f t="shared" si="4"/>
        <v>2.5940380918208703E-3</v>
      </c>
    </row>
    <row r="72" spans="1:19" x14ac:dyDescent="0.2">
      <c r="A72" t="s">
        <v>137</v>
      </c>
      <c r="B72" t="s">
        <v>112</v>
      </c>
      <c r="C72" t="s">
        <v>62</v>
      </c>
      <c r="D72">
        <v>5</v>
      </c>
      <c r="E72" t="s">
        <v>71</v>
      </c>
      <c r="F72">
        <v>211</v>
      </c>
      <c r="G72">
        <v>211</v>
      </c>
      <c r="H72">
        <v>1.254211729114407</v>
      </c>
      <c r="I72">
        <v>0.48219885892451558</v>
      </c>
      <c r="J72">
        <v>91.409395681121339</v>
      </c>
      <c r="K72">
        <v>34.920372057310921</v>
      </c>
      <c r="L72">
        <v>1.243700275766584</v>
      </c>
      <c r="M72">
        <v>0.4739690198309951</v>
      </c>
      <c r="N72">
        <v>91.409395681107526</v>
      </c>
      <c r="O72">
        <v>35.003417054625103</v>
      </c>
      <c r="P72" s="3">
        <f t="shared" si="5"/>
        <v>8.4517576723572036E-3</v>
      </c>
      <c r="Q72" s="3">
        <f t="shared" si="2"/>
        <v>1.7363664605030579E-2</v>
      </c>
      <c r="R72" s="3">
        <f t="shared" si="3"/>
        <v>1.5111084238391049E-13</v>
      </c>
      <c r="S72" s="3">
        <f t="shared" si="4"/>
        <v>2.3724825831885317E-3</v>
      </c>
    </row>
    <row r="73" spans="1:19" x14ac:dyDescent="0.2">
      <c r="A73" t="s">
        <v>138</v>
      </c>
      <c r="B73" t="s">
        <v>112</v>
      </c>
      <c r="C73" t="s">
        <v>62</v>
      </c>
      <c r="D73">
        <v>6</v>
      </c>
      <c r="E73" t="s">
        <v>73</v>
      </c>
      <c r="F73">
        <v>185</v>
      </c>
      <c r="G73">
        <v>185</v>
      </c>
      <c r="H73">
        <v>1.348205496619745</v>
      </c>
      <c r="I73">
        <v>1.0994606578860431</v>
      </c>
      <c r="J73">
        <v>91.001291539175796</v>
      </c>
      <c r="K73">
        <v>36.479323256657722</v>
      </c>
      <c r="L73">
        <v>1.343102714905172</v>
      </c>
      <c r="M73">
        <v>0.89177583576442521</v>
      </c>
      <c r="N73">
        <v>91.001291539184322</v>
      </c>
      <c r="O73">
        <v>36.578317531619547</v>
      </c>
      <c r="P73" s="3">
        <f t="shared" si="5"/>
        <v>3.7992490506828349E-3</v>
      </c>
      <c r="Q73" s="3">
        <f t="shared" si="2"/>
        <v>0.2328890443006808</v>
      </c>
      <c r="R73" s="3">
        <f t="shared" si="3"/>
        <v>9.3696613365643976E-14</v>
      </c>
      <c r="S73" s="3">
        <f t="shared" si="4"/>
        <v>2.7063649080155501E-3</v>
      </c>
    </row>
    <row r="74" spans="1:19" x14ac:dyDescent="0.2">
      <c r="A74" t="s">
        <v>139</v>
      </c>
      <c r="B74" t="s">
        <v>112</v>
      </c>
      <c r="C74" t="s">
        <v>62</v>
      </c>
      <c r="D74">
        <v>7</v>
      </c>
      <c r="E74" t="s">
        <v>75</v>
      </c>
      <c r="F74">
        <v>177</v>
      </c>
      <c r="G74">
        <v>175</v>
      </c>
      <c r="H74">
        <v>1.344297392762376</v>
      </c>
      <c r="I74">
        <v>0.6973445239040913</v>
      </c>
      <c r="J74">
        <v>92.040654163936338</v>
      </c>
      <c r="K74">
        <v>35.467086803029709</v>
      </c>
      <c r="L74">
        <v>1.3509949507047041</v>
      </c>
      <c r="M74">
        <v>0.70339376892403249</v>
      </c>
      <c r="N74">
        <v>91.000646772312294</v>
      </c>
      <c r="O74">
        <v>36.687137888703688</v>
      </c>
      <c r="P74" s="3">
        <f t="shared" si="5"/>
        <v>4.9575003510076024E-3</v>
      </c>
      <c r="Q74" s="3">
        <f t="shared" si="2"/>
        <v>8.6000833206051949E-3</v>
      </c>
      <c r="R74" s="3">
        <f t="shared" si="3"/>
        <v>1.1428571427917316E-2</v>
      </c>
      <c r="S74" s="3">
        <f t="shared" si="4"/>
        <v>3.325555374134663E-2</v>
      </c>
    </row>
    <row r="75" spans="1:19" x14ac:dyDescent="0.2">
      <c r="A75" t="s">
        <v>140</v>
      </c>
      <c r="B75" t="s">
        <v>112</v>
      </c>
      <c r="C75" t="s">
        <v>62</v>
      </c>
      <c r="D75">
        <v>8</v>
      </c>
      <c r="E75" t="s">
        <v>77</v>
      </c>
      <c r="F75">
        <v>173</v>
      </c>
      <c r="G75">
        <v>173</v>
      </c>
      <c r="H75">
        <v>1.26780025361431</v>
      </c>
      <c r="I75">
        <v>0.4679695453938813</v>
      </c>
      <c r="J75">
        <v>93.181643284318199</v>
      </c>
      <c r="K75">
        <v>39.494493965257107</v>
      </c>
      <c r="L75">
        <v>1.2813746081566839</v>
      </c>
      <c r="M75">
        <v>0.48643420752217492</v>
      </c>
      <c r="N75">
        <v>93.181643284333276</v>
      </c>
      <c r="O75">
        <v>39.609137149689978</v>
      </c>
      <c r="P75" s="3">
        <f t="shared" si="5"/>
        <v>1.0593587898468825E-2</v>
      </c>
      <c r="Q75" s="3">
        <f t="shared" si="2"/>
        <v>3.7959218004732689E-2</v>
      </c>
      <c r="R75" s="3">
        <f t="shared" si="3"/>
        <v>1.6180994798322425E-13</v>
      </c>
      <c r="S75" s="3">
        <f t="shared" si="4"/>
        <v>2.8943620760940765E-3</v>
      </c>
    </row>
    <row r="76" spans="1:19" x14ac:dyDescent="0.2">
      <c r="A76" t="s">
        <v>141</v>
      </c>
      <c r="B76" t="s">
        <v>112</v>
      </c>
      <c r="C76" t="s">
        <v>62</v>
      </c>
      <c r="D76">
        <v>9</v>
      </c>
      <c r="E76" t="s">
        <v>79</v>
      </c>
      <c r="F76">
        <v>771</v>
      </c>
      <c r="G76">
        <v>771</v>
      </c>
      <c r="H76">
        <v>1.29239424245963</v>
      </c>
      <c r="I76">
        <v>0.69041781529185386</v>
      </c>
      <c r="J76">
        <v>95.118661211744922</v>
      </c>
      <c r="K76">
        <v>35.135952664367757</v>
      </c>
      <c r="L76">
        <v>1.294031257561095</v>
      </c>
      <c r="M76">
        <v>0.69100331740701837</v>
      </c>
      <c r="N76">
        <v>95.118661211764092</v>
      </c>
      <c r="O76">
        <v>35.158760815201163</v>
      </c>
      <c r="P76" s="3">
        <f t="shared" si="5"/>
        <v>1.2650506638845929E-3</v>
      </c>
      <c r="Q76" s="3">
        <f t="shared" si="2"/>
        <v>8.4732171382562128E-4</v>
      </c>
      <c r="R76" s="3">
        <f t="shared" si="3"/>
        <v>2.0154239732336076E-13</v>
      </c>
      <c r="S76" s="3">
        <f t="shared" si="4"/>
        <v>6.4871884857626791E-4</v>
      </c>
    </row>
    <row r="77" spans="1:19" x14ac:dyDescent="0.2">
      <c r="A77" t="s">
        <v>142</v>
      </c>
      <c r="B77" t="s">
        <v>112</v>
      </c>
      <c r="C77" t="s">
        <v>62</v>
      </c>
      <c r="D77">
        <v>10</v>
      </c>
      <c r="E77" t="s">
        <v>81</v>
      </c>
      <c r="F77">
        <v>743</v>
      </c>
      <c r="G77">
        <v>741</v>
      </c>
      <c r="H77">
        <v>1.3043624971174359</v>
      </c>
      <c r="I77">
        <v>0.73532082860251613</v>
      </c>
      <c r="J77">
        <v>90.769726741338275</v>
      </c>
      <c r="K77">
        <v>37.022350607020741</v>
      </c>
      <c r="L77">
        <v>1.3004819199427951</v>
      </c>
      <c r="M77">
        <v>0.65585338403185223</v>
      </c>
      <c r="N77">
        <v>90.525393694930301</v>
      </c>
      <c r="O77">
        <v>37.295513880245629</v>
      </c>
      <c r="P77" s="3">
        <f t="shared" si="5"/>
        <v>2.9839531908383244E-3</v>
      </c>
      <c r="Q77" s="3">
        <f t="shared" si="2"/>
        <v>0.12116647791330826</v>
      </c>
      <c r="R77" s="3">
        <f t="shared" si="3"/>
        <v>2.6990553306111388E-3</v>
      </c>
      <c r="S77" s="3">
        <f t="shared" si="4"/>
        <v>7.3242930531002854E-3</v>
      </c>
    </row>
    <row r="78" spans="1:19" x14ac:dyDescent="0.2">
      <c r="A78" t="s">
        <v>143</v>
      </c>
      <c r="B78" t="s">
        <v>112</v>
      </c>
      <c r="C78" t="s">
        <v>62</v>
      </c>
      <c r="D78">
        <v>11</v>
      </c>
      <c r="E78" t="s">
        <v>83</v>
      </c>
      <c r="F78">
        <v>376</v>
      </c>
      <c r="G78">
        <v>376</v>
      </c>
      <c r="H78">
        <v>1.323835812723736</v>
      </c>
      <c r="I78">
        <v>0.8317655590411801</v>
      </c>
      <c r="J78">
        <v>97.040875406537481</v>
      </c>
      <c r="K78">
        <v>34.889657177636622</v>
      </c>
      <c r="L78">
        <v>1.3146153006344099</v>
      </c>
      <c r="M78">
        <v>0.82440348892056214</v>
      </c>
      <c r="N78">
        <v>97.040875406569697</v>
      </c>
      <c r="O78">
        <v>34.936145748779388</v>
      </c>
      <c r="P78" s="3">
        <f t="shared" si="5"/>
        <v>7.013848146203993E-3</v>
      </c>
      <c r="Q78" s="3">
        <f t="shared" si="2"/>
        <v>8.9301782677527614E-3</v>
      </c>
      <c r="R78" s="3">
        <f t="shared" si="3"/>
        <v>3.3198389343035451E-13</v>
      </c>
      <c r="S78" s="3">
        <f t="shared" si="4"/>
        <v>1.3306725783965789E-3</v>
      </c>
    </row>
    <row r="79" spans="1:19" x14ac:dyDescent="0.2">
      <c r="A79" t="s">
        <v>144</v>
      </c>
      <c r="B79" t="s">
        <v>112</v>
      </c>
      <c r="C79" t="s">
        <v>62</v>
      </c>
      <c r="D79">
        <v>12</v>
      </c>
      <c r="E79" t="s">
        <v>85</v>
      </c>
      <c r="F79">
        <v>366</v>
      </c>
      <c r="G79">
        <v>364</v>
      </c>
      <c r="H79">
        <v>1.341129479736582</v>
      </c>
      <c r="I79">
        <v>0.92210245410777425</v>
      </c>
      <c r="J79">
        <v>90.435411868216278</v>
      </c>
      <c r="K79">
        <v>36.368081368768713</v>
      </c>
      <c r="L79">
        <v>1.3387833764762811</v>
      </c>
      <c r="M79">
        <v>0.8004477123322159</v>
      </c>
      <c r="N79">
        <v>89.941229289702903</v>
      </c>
      <c r="O79">
        <v>36.926722583592657</v>
      </c>
      <c r="P79" s="3">
        <f t="shared" si="5"/>
        <v>1.7524143946841882E-3</v>
      </c>
      <c r="Q79" s="3">
        <f t="shared" si="2"/>
        <v>0.15198337118248526</v>
      </c>
      <c r="R79" s="3">
        <f t="shared" si="3"/>
        <v>5.4945054944890766E-3</v>
      </c>
      <c r="S79" s="3">
        <f t="shared" si="4"/>
        <v>1.5128372510160424E-2</v>
      </c>
    </row>
    <row r="80" spans="1:19" x14ac:dyDescent="0.2">
      <c r="A80" t="s">
        <v>145</v>
      </c>
      <c r="B80" t="s">
        <v>112</v>
      </c>
      <c r="C80" t="s">
        <v>62</v>
      </c>
      <c r="D80">
        <v>13</v>
      </c>
      <c r="E80" t="s">
        <v>87</v>
      </c>
      <c r="F80">
        <v>405</v>
      </c>
      <c r="G80">
        <v>405</v>
      </c>
      <c r="H80">
        <v>1.2465715323400159</v>
      </c>
      <c r="I80">
        <v>0.45059415025885968</v>
      </c>
      <c r="J80">
        <v>91.19286778290396</v>
      </c>
      <c r="K80">
        <v>34.459521542687767</v>
      </c>
      <c r="L80">
        <v>1.2530747882647451</v>
      </c>
      <c r="M80">
        <v>0.46966277836111958</v>
      </c>
      <c r="N80">
        <v>91.192867782920771</v>
      </c>
      <c r="O80">
        <v>34.502143106978401</v>
      </c>
      <c r="P80" s="3">
        <f t="shared" si="5"/>
        <v>5.1898386158856528E-3</v>
      </c>
      <c r="Q80" s="3">
        <f t="shared" si="2"/>
        <v>4.0600679851189314E-2</v>
      </c>
      <c r="R80" s="3">
        <f t="shared" si="3"/>
        <v>1.8435039424467505E-13</v>
      </c>
      <c r="S80" s="3">
        <f t="shared" si="4"/>
        <v>1.2353309230235499E-3</v>
      </c>
    </row>
    <row r="81" spans="1:19" x14ac:dyDescent="0.2">
      <c r="A81" t="s">
        <v>146</v>
      </c>
      <c r="B81" t="s">
        <v>112</v>
      </c>
      <c r="C81" t="s">
        <v>62</v>
      </c>
      <c r="D81">
        <v>14</v>
      </c>
      <c r="E81" t="s">
        <v>89</v>
      </c>
      <c r="F81">
        <v>378</v>
      </c>
      <c r="G81">
        <v>378</v>
      </c>
      <c r="H81">
        <v>1.254343435062675</v>
      </c>
      <c r="I81">
        <v>0.41965789573691742</v>
      </c>
      <c r="J81">
        <v>93.797953859695383</v>
      </c>
      <c r="K81">
        <v>37.394078660298867</v>
      </c>
      <c r="L81">
        <v>1.256675896756521</v>
      </c>
      <c r="M81">
        <v>0.41364975943395982</v>
      </c>
      <c r="N81">
        <v>93.797953859702631</v>
      </c>
      <c r="O81">
        <v>37.443640085176831</v>
      </c>
      <c r="P81" s="3">
        <f t="shared" si="5"/>
        <v>1.8560566808563169E-3</v>
      </c>
      <c r="Q81" s="3">
        <f t="shared" si="2"/>
        <v>1.4524694299784343E-2</v>
      </c>
      <c r="R81" s="3">
        <f t="shared" si="3"/>
        <v>7.7267526705256845E-14</v>
      </c>
      <c r="S81" s="3">
        <f t="shared" si="4"/>
        <v>1.3236273173554221E-3</v>
      </c>
    </row>
    <row r="82" spans="1:19" x14ac:dyDescent="0.2">
      <c r="A82" t="s">
        <v>147</v>
      </c>
      <c r="B82" t="s">
        <v>112</v>
      </c>
      <c r="C82" t="s">
        <v>62</v>
      </c>
      <c r="D82">
        <v>15</v>
      </c>
      <c r="E82" t="s">
        <v>91</v>
      </c>
      <c r="F82">
        <v>1511</v>
      </c>
      <c r="G82">
        <v>1509</v>
      </c>
      <c r="H82">
        <v>1.294649776482681</v>
      </c>
      <c r="I82">
        <v>0.70305020477235391</v>
      </c>
      <c r="J82">
        <v>92.798452313896362</v>
      </c>
      <c r="K82">
        <v>36.085948556085697</v>
      </c>
      <c r="L82">
        <v>1.2933849647185769</v>
      </c>
      <c r="M82">
        <v>0.66275627799155112</v>
      </c>
      <c r="N82">
        <v>92.675621801301062</v>
      </c>
      <c r="O82">
        <v>36.231536466918342</v>
      </c>
      <c r="P82" s="3">
        <f t="shared" si="5"/>
        <v>9.7790820104306391E-4</v>
      </c>
      <c r="Q82" s="3">
        <f t="shared" ref="Q82:Q136" si="6">ABS(I82-M82)/M82</f>
        <v>6.079750297184882E-2</v>
      </c>
      <c r="R82" s="3">
        <f t="shared" ref="R82:R136" si="7">ABS(J82-N82)/N82</f>
        <v>1.3253810463624597E-3</v>
      </c>
      <c r="S82" s="3">
        <f t="shared" ref="S82:S136" si="8">ABS(K82-O82)/O82</f>
        <v>4.0182648882576789E-3</v>
      </c>
    </row>
    <row r="83" spans="1:19" x14ac:dyDescent="0.2">
      <c r="A83" t="s">
        <v>148</v>
      </c>
      <c r="B83" t="s">
        <v>112</v>
      </c>
      <c r="C83" t="s">
        <v>93</v>
      </c>
      <c r="D83">
        <v>1</v>
      </c>
      <c r="E83" t="s">
        <v>94</v>
      </c>
      <c r="F83">
        <v>260</v>
      </c>
      <c r="G83">
        <v>260</v>
      </c>
      <c r="H83">
        <v>1.28275240356602</v>
      </c>
      <c r="I83">
        <v>0.58190861290801288</v>
      </c>
      <c r="J83">
        <v>92.939238004820481</v>
      </c>
      <c r="K83">
        <v>36.983960719518237</v>
      </c>
      <c r="L83">
        <v>1.292919431394485</v>
      </c>
      <c r="M83">
        <v>0.58936921390609787</v>
      </c>
      <c r="N83">
        <v>92.939238004824304</v>
      </c>
      <c r="O83">
        <v>37.055289543196871</v>
      </c>
      <c r="P83" s="3">
        <f t="shared" si="5"/>
        <v>7.8636205641206911E-3</v>
      </c>
      <c r="Q83" s="3">
        <f t="shared" si="6"/>
        <v>1.2658620134973082E-2</v>
      </c>
      <c r="R83" s="3">
        <f t="shared" si="7"/>
        <v>4.1131388641156154E-14</v>
      </c>
      <c r="S83" s="3">
        <f t="shared" si="8"/>
        <v>1.9249296000098202E-3</v>
      </c>
    </row>
    <row r="84" spans="1:19" x14ac:dyDescent="0.2">
      <c r="A84" t="s">
        <v>149</v>
      </c>
      <c r="B84" t="s">
        <v>112</v>
      </c>
      <c r="C84" t="s">
        <v>93</v>
      </c>
      <c r="D84">
        <v>2</v>
      </c>
      <c r="E84" t="s">
        <v>96</v>
      </c>
      <c r="F84">
        <v>274</v>
      </c>
      <c r="G84">
        <v>274</v>
      </c>
      <c r="H84">
        <v>1.2909209251854279</v>
      </c>
      <c r="I84">
        <v>0.54089142041876781</v>
      </c>
      <c r="J84">
        <v>96.477745025125316</v>
      </c>
      <c r="K84">
        <v>35.308590738532693</v>
      </c>
      <c r="L84">
        <v>1.274297720065968</v>
      </c>
      <c r="M84">
        <v>0.52811416791022936</v>
      </c>
      <c r="N84">
        <v>96.47774502513451</v>
      </c>
      <c r="O84">
        <v>35.373199375798791</v>
      </c>
      <c r="P84" s="3">
        <f t="shared" si="5"/>
        <v>1.3044993220736018E-2</v>
      </c>
      <c r="Q84" s="3">
        <f t="shared" si="6"/>
        <v>2.4194110449826771E-2</v>
      </c>
      <c r="R84" s="3">
        <f t="shared" si="7"/>
        <v>9.5300973279799954E-14</v>
      </c>
      <c r="S84" s="3">
        <f t="shared" si="8"/>
        <v>1.8264855429023083E-3</v>
      </c>
    </row>
    <row r="85" spans="1:19" x14ac:dyDescent="0.2">
      <c r="A85" t="s">
        <v>150</v>
      </c>
      <c r="B85" t="s">
        <v>112</v>
      </c>
      <c r="C85" t="s">
        <v>93</v>
      </c>
      <c r="D85">
        <v>3</v>
      </c>
      <c r="E85" t="s">
        <v>98</v>
      </c>
      <c r="F85">
        <v>285</v>
      </c>
      <c r="G85">
        <v>285</v>
      </c>
      <c r="H85">
        <v>1.2257037309948271</v>
      </c>
      <c r="I85">
        <v>0.38007293664947522</v>
      </c>
      <c r="J85">
        <v>92.352157950775265</v>
      </c>
      <c r="K85">
        <v>32.794709118751527</v>
      </c>
      <c r="L85">
        <v>1.2139789552975551</v>
      </c>
      <c r="M85">
        <v>0.35567026019936943</v>
      </c>
      <c r="N85">
        <v>92.352157950782981</v>
      </c>
      <c r="O85">
        <v>32.852395547004747</v>
      </c>
      <c r="P85" s="3">
        <f t="shared" si="5"/>
        <v>9.6581375205126285E-3</v>
      </c>
      <c r="Q85" s="3">
        <f t="shared" si="6"/>
        <v>6.8610393335745826E-2</v>
      </c>
      <c r="R85" s="3">
        <f t="shared" si="7"/>
        <v>8.3555103438590158E-14</v>
      </c>
      <c r="S85" s="3">
        <f t="shared" si="8"/>
        <v>1.7559276056652541E-3</v>
      </c>
    </row>
    <row r="86" spans="1:19" x14ac:dyDescent="0.2">
      <c r="A86" t="s">
        <v>151</v>
      </c>
      <c r="B86" t="s">
        <v>112</v>
      </c>
      <c r="C86" t="s">
        <v>93</v>
      </c>
      <c r="D86">
        <v>4</v>
      </c>
      <c r="E86" t="s">
        <v>100</v>
      </c>
      <c r="F86">
        <v>282</v>
      </c>
      <c r="G86">
        <v>282</v>
      </c>
      <c r="H86">
        <v>1.270202948478331</v>
      </c>
      <c r="I86">
        <v>0.4719756654656026</v>
      </c>
      <c r="J86">
        <v>95.697770533014122</v>
      </c>
      <c r="K86">
        <v>35.530616679690233</v>
      </c>
      <c r="L86">
        <v>1.2669065262996839</v>
      </c>
      <c r="M86">
        <v>0.47239560626750332</v>
      </c>
      <c r="N86">
        <v>95.697770533022563</v>
      </c>
      <c r="O86">
        <v>35.593782270321917</v>
      </c>
      <c r="P86" s="3">
        <f t="shared" si="5"/>
        <v>2.6019458501608168E-3</v>
      </c>
      <c r="Q86" s="3">
        <f t="shared" si="6"/>
        <v>8.8896000794495172E-4</v>
      </c>
      <c r="R86" s="3">
        <f t="shared" si="7"/>
        <v>8.8207360044162749E-14</v>
      </c>
      <c r="S86" s="3">
        <f t="shared" si="8"/>
        <v>1.7746242911743366E-3</v>
      </c>
    </row>
    <row r="87" spans="1:19" x14ac:dyDescent="0.2">
      <c r="A87" t="s">
        <v>152</v>
      </c>
      <c r="B87" t="s">
        <v>112</v>
      </c>
      <c r="C87" t="s">
        <v>93</v>
      </c>
      <c r="D87">
        <v>5</v>
      </c>
      <c r="E87" t="s">
        <v>102</v>
      </c>
      <c r="F87">
        <v>119</v>
      </c>
      <c r="G87">
        <v>119</v>
      </c>
      <c r="H87">
        <v>1.41688500001048</v>
      </c>
      <c r="I87">
        <v>0.69461449414029375</v>
      </c>
      <c r="J87">
        <v>100.0431804078469</v>
      </c>
      <c r="K87">
        <v>29.41903577587021</v>
      </c>
      <c r="L87">
        <v>1.417253825955882</v>
      </c>
      <c r="M87">
        <v>0.74499348643308705</v>
      </c>
      <c r="N87">
        <v>100.04318040784131</v>
      </c>
      <c r="O87">
        <v>29.543429716645221</v>
      </c>
      <c r="P87" s="3">
        <f t="shared" si="5"/>
        <v>2.6023986575110313E-4</v>
      </c>
      <c r="Q87" s="3">
        <f t="shared" si="6"/>
        <v>6.7623399680982563E-2</v>
      </c>
      <c r="R87" s="3">
        <f t="shared" si="7"/>
        <v>5.5966600971341554E-14</v>
      </c>
      <c r="S87" s="3">
        <f t="shared" si="8"/>
        <v>4.2105450168815626E-3</v>
      </c>
    </row>
    <row r="88" spans="1:19" x14ac:dyDescent="0.2">
      <c r="A88" t="s">
        <v>153</v>
      </c>
      <c r="B88" t="s">
        <v>112</v>
      </c>
      <c r="C88" t="s">
        <v>93</v>
      </c>
      <c r="D88">
        <v>6</v>
      </c>
      <c r="E88" t="s">
        <v>104</v>
      </c>
      <c r="F88">
        <v>280</v>
      </c>
      <c r="G88">
        <v>280</v>
      </c>
      <c r="H88">
        <v>1.2623436992724459</v>
      </c>
      <c r="I88">
        <v>0.43966914307799831</v>
      </c>
      <c r="J88">
        <v>93.438127225433206</v>
      </c>
      <c r="K88">
        <v>39.533502021018712</v>
      </c>
      <c r="L88">
        <v>1.257863361040245</v>
      </c>
      <c r="M88">
        <v>0.46553265414167339</v>
      </c>
      <c r="N88">
        <v>93.438127225435181</v>
      </c>
      <c r="O88">
        <v>39.604287220083968</v>
      </c>
      <c r="P88" s="3">
        <f t="shared" si="5"/>
        <v>3.5618640076261875E-3</v>
      </c>
      <c r="Q88" s="3">
        <f t="shared" si="6"/>
        <v>5.555681397121532E-2</v>
      </c>
      <c r="R88" s="3">
        <f t="shared" si="7"/>
        <v>2.1140286776588685E-14</v>
      </c>
      <c r="S88" s="3">
        <f t="shared" si="8"/>
        <v>1.7873115269540667E-3</v>
      </c>
    </row>
    <row r="89" spans="1:19" x14ac:dyDescent="0.2">
      <c r="A89" t="s">
        <v>154</v>
      </c>
      <c r="B89" t="s">
        <v>112</v>
      </c>
      <c r="C89" t="s">
        <v>93</v>
      </c>
      <c r="D89">
        <v>7</v>
      </c>
      <c r="E89" t="s">
        <v>106</v>
      </c>
      <c r="F89">
        <v>256</v>
      </c>
      <c r="G89">
        <v>256</v>
      </c>
      <c r="H89">
        <v>1.2577587973945299</v>
      </c>
      <c r="I89">
        <v>0.44556947243587708</v>
      </c>
      <c r="J89">
        <v>91.646641142011077</v>
      </c>
      <c r="K89">
        <v>33.901917495297717</v>
      </c>
      <c r="L89">
        <v>1.2535320650659609</v>
      </c>
      <c r="M89">
        <v>0.4328593605097838</v>
      </c>
      <c r="N89">
        <v>91.646641142012413</v>
      </c>
      <c r="O89">
        <v>33.968326799874362</v>
      </c>
      <c r="P89" s="3">
        <f t="shared" si="5"/>
        <v>3.3718581649098459E-3</v>
      </c>
      <c r="Q89" s="3">
        <f t="shared" si="6"/>
        <v>2.9363144442861134E-2</v>
      </c>
      <c r="R89" s="3">
        <f t="shared" si="7"/>
        <v>1.4575769789086413E-14</v>
      </c>
      <c r="S89" s="3">
        <f t="shared" si="8"/>
        <v>1.9550360831105339E-3</v>
      </c>
    </row>
    <row r="90" spans="1:19" x14ac:dyDescent="0.2">
      <c r="A90" t="s">
        <v>155</v>
      </c>
      <c r="B90" t="s">
        <v>112</v>
      </c>
      <c r="C90" t="s">
        <v>93</v>
      </c>
      <c r="D90">
        <v>8</v>
      </c>
      <c r="E90" t="s">
        <v>108</v>
      </c>
      <c r="F90">
        <v>269</v>
      </c>
      <c r="G90">
        <v>269</v>
      </c>
      <c r="H90">
        <v>1.3211185977186419</v>
      </c>
      <c r="I90">
        <v>0.90984312341432039</v>
      </c>
      <c r="J90">
        <v>91.946795796911161</v>
      </c>
      <c r="K90">
        <v>35.459189045589987</v>
      </c>
      <c r="L90">
        <v>1.3011487686255321</v>
      </c>
      <c r="M90">
        <v>0.7404009030558103</v>
      </c>
      <c r="N90">
        <v>91.946795796931966</v>
      </c>
      <c r="O90">
        <v>35.525282651959678</v>
      </c>
      <c r="P90" s="3">
        <f t="shared" si="5"/>
        <v>1.5347844592901522E-2</v>
      </c>
      <c r="Q90" s="3">
        <f t="shared" si="6"/>
        <v>0.22885199040031126</v>
      </c>
      <c r="R90" s="3">
        <f t="shared" si="7"/>
        <v>2.2626880167747982E-13</v>
      </c>
      <c r="S90" s="3">
        <f t="shared" si="8"/>
        <v>1.8604667278008258E-3</v>
      </c>
    </row>
    <row r="91" spans="1:19" x14ac:dyDescent="0.2">
      <c r="A91" t="s">
        <v>156</v>
      </c>
      <c r="B91" t="s">
        <v>112</v>
      </c>
      <c r="C91" t="s">
        <v>93</v>
      </c>
      <c r="D91">
        <v>9</v>
      </c>
      <c r="E91" t="s">
        <v>110</v>
      </c>
      <c r="F91">
        <v>241</v>
      </c>
      <c r="G91">
        <v>241</v>
      </c>
      <c r="H91">
        <v>1.2835876554144809</v>
      </c>
      <c r="I91">
        <v>0.55076362034248905</v>
      </c>
      <c r="J91">
        <v>92.06586160498928</v>
      </c>
      <c r="K91">
        <v>36.027834756485447</v>
      </c>
      <c r="L91">
        <v>1.2932411401227391</v>
      </c>
      <c r="M91">
        <v>0.56013604038442544</v>
      </c>
      <c r="N91">
        <v>92.065861604979531</v>
      </c>
      <c r="O91">
        <v>36.102814722620998</v>
      </c>
      <c r="P91" s="3">
        <f t="shared" si="5"/>
        <v>7.4645666680089647E-3</v>
      </c>
      <c r="Q91" s="3">
        <f t="shared" si="6"/>
        <v>1.6732399571189941E-2</v>
      </c>
      <c r="R91" s="3">
        <f t="shared" si="7"/>
        <v>1.0588774345540154E-13</v>
      </c>
      <c r="S91" s="3">
        <f t="shared" si="8"/>
        <v>2.0768454402135773E-3</v>
      </c>
    </row>
    <row r="92" spans="1:19" x14ac:dyDescent="0.2">
      <c r="A92" t="s">
        <v>157</v>
      </c>
      <c r="B92" t="s">
        <v>158</v>
      </c>
      <c r="C92" t="s">
        <v>17</v>
      </c>
      <c r="D92">
        <v>1</v>
      </c>
      <c r="E92" t="s">
        <v>18</v>
      </c>
      <c r="F92">
        <v>94</v>
      </c>
      <c r="G92">
        <v>93</v>
      </c>
      <c r="H92">
        <v>1.365489621428325</v>
      </c>
      <c r="I92">
        <v>0.68599656293452038</v>
      </c>
      <c r="J92">
        <v>98.976770542576887</v>
      </c>
      <c r="K92">
        <v>34.518515745263151</v>
      </c>
      <c r="L92">
        <v>1.3388133731248371</v>
      </c>
      <c r="M92">
        <v>0.64747508562653966</v>
      </c>
      <c r="N92">
        <v>97.923826175102676</v>
      </c>
      <c r="O92">
        <v>35.996457635572632</v>
      </c>
      <c r="P92" s="3">
        <f t="shared" si="5"/>
        <v>1.9925292680057879E-2</v>
      </c>
      <c r="Q92" s="3">
        <f t="shared" si="6"/>
        <v>5.9494918280453675E-2</v>
      </c>
      <c r="R92" s="3">
        <f t="shared" si="7"/>
        <v>1.0752688172042897E-2</v>
      </c>
      <c r="S92" s="3">
        <f t="shared" si="8"/>
        <v>4.10579814622909E-2</v>
      </c>
    </row>
    <row r="93" spans="1:19" x14ac:dyDescent="0.2">
      <c r="A93" t="s">
        <v>159</v>
      </c>
      <c r="B93" t="s">
        <v>158</v>
      </c>
      <c r="C93" t="s">
        <v>17</v>
      </c>
      <c r="D93">
        <v>2</v>
      </c>
      <c r="E93" t="s">
        <v>20</v>
      </c>
      <c r="F93">
        <v>1271</v>
      </c>
      <c r="G93">
        <v>1268</v>
      </c>
      <c r="H93">
        <v>1.2500271502649689</v>
      </c>
      <c r="I93">
        <v>0.47035645514361041</v>
      </c>
      <c r="J93">
        <v>94.908776596492643</v>
      </c>
      <c r="K93">
        <v>35.434948985241149</v>
      </c>
      <c r="L93">
        <v>1.2546712551792429</v>
      </c>
      <c r="M93">
        <v>0.45243478794290548</v>
      </c>
      <c r="N93">
        <v>94.684759027877135</v>
      </c>
      <c r="O93">
        <v>35.705545532791163</v>
      </c>
      <c r="P93" s="3">
        <f t="shared" si="5"/>
        <v>3.701451591485268E-3</v>
      </c>
      <c r="Q93" s="3">
        <f t="shared" si="6"/>
        <v>3.9611602994079516E-2</v>
      </c>
      <c r="R93" s="3">
        <f t="shared" si="7"/>
        <v>2.365930598709693E-3</v>
      </c>
      <c r="S93" s="3">
        <f t="shared" si="8"/>
        <v>7.5785579946259013E-3</v>
      </c>
    </row>
    <row r="94" spans="1:19" x14ac:dyDescent="0.2">
      <c r="A94" t="s">
        <v>160</v>
      </c>
      <c r="B94" t="s">
        <v>158</v>
      </c>
      <c r="C94" t="s">
        <v>17</v>
      </c>
      <c r="D94">
        <v>3</v>
      </c>
      <c r="E94" t="s">
        <v>22</v>
      </c>
      <c r="F94">
        <v>542</v>
      </c>
      <c r="G94">
        <v>541</v>
      </c>
      <c r="H94">
        <v>1.244592134154592</v>
      </c>
      <c r="I94">
        <v>0.45169402584824708</v>
      </c>
      <c r="J94">
        <v>96.144417151567126</v>
      </c>
      <c r="K94">
        <v>35.617712608321213</v>
      </c>
      <c r="L94">
        <v>1.2598863037961681</v>
      </c>
      <c r="M94">
        <v>0.46180805004780379</v>
      </c>
      <c r="N94">
        <v>95.967028928038957</v>
      </c>
      <c r="O94">
        <v>35.856329131837477</v>
      </c>
      <c r="P94" s="3">
        <f t="shared" si="5"/>
        <v>1.2139325267282548E-2</v>
      </c>
      <c r="Q94" s="3">
        <f t="shared" si="6"/>
        <v>2.1900926583046262E-2</v>
      </c>
      <c r="R94" s="3">
        <f t="shared" si="7"/>
        <v>1.8484288355033252E-3</v>
      </c>
      <c r="S94" s="3">
        <f t="shared" si="8"/>
        <v>6.654795102948554E-3</v>
      </c>
    </row>
    <row r="95" spans="1:19" x14ac:dyDescent="0.2">
      <c r="A95" t="s">
        <v>161</v>
      </c>
      <c r="B95" t="s">
        <v>158</v>
      </c>
      <c r="C95" t="s">
        <v>17</v>
      </c>
      <c r="D95">
        <v>4</v>
      </c>
      <c r="E95" t="s">
        <v>24</v>
      </c>
      <c r="F95">
        <v>732</v>
      </c>
      <c r="G95">
        <v>730</v>
      </c>
      <c r="H95">
        <v>1.2594558224600449</v>
      </c>
      <c r="I95">
        <v>0.51254028275541652</v>
      </c>
      <c r="J95">
        <v>93.838504962983663</v>
      </c>
      <c r="K95">
        <v>35.485218626621311</v>
      </c>
      <c r="L95">
        <v>1.260424322136213</v>
      </c>
      <c r="M95">
        <v>0.49884593136152239</v>
      </c>
      <c r="N95">
        <v>93.582115605175545</v>
      </c>
      <c r="O95">
        <v>35.79810678594545</v>
      </c>
      <c r="P95" s="3">
        <f t="shared" si="5"/>
        <v>7.6839177026243749E-4</v>
      </c>
      <c r="Q95" s="3">
        <f t="shared" si="6"/>
        <v>2.7452065924477985E-2</v>
      </c>
      <c r="R95" s="3">
        <f t="shared" si="7"/>
        <v>2.7397260272446567E-3</v>
      </c>
      <c r="S95" s="3">
        <f t="shared" si="8"/>
        <v>8.7403549353895042E-3</v>
      </c>
    </row>
    <row r="96" spans="1:19" x14ac:dyDescent="0.2">
      <c r="A96" t="s">
        <v>162</v>
      </c>
      <c r="B96" t="s">
        <v>158</v>
      </c>
      <c r="C96" t="s">
        <v>17</v>
      </c>
      <c r="D96">
        <v>5</v>
      </c>
      <c r="E96" t="s">
        <v>26</v>
      </c>
      <c r="F96">
        <v>436</v>
      </c>
      <c r="G96">
        <v>436</v>
      </c>
      <c r="H96">
        <v>1.2852722835447481</v>
      </c>
      <c r="I96">
        <v>0.52926225581942754</v>
      </c>
      <c r="J96">
        <v>95.262005253608336</v>
      </c>
      <c r="K96">
        <v>34.531447786138607</v>
      </c>
      <c r="L96">
        <v>1.299500726503322</v>
      </c>
      <c r="M96">
        <v>0.53734736059028765</v>
      </c>
      <c r="N96">
        <v>95.262005253601671</v>
      </c>
      <c r="O96">
        <v>34.571116320511628</v>
      </c>
      <c r="P96" s="3">
        <f t="shared" si="5"/>
        <v>1.0949161218908774E-2</v>
      </c>
      <c r="Q96" s="3">
        <f t="shared" si="6"/>
        <v>1.5046328248413551E-2</v>
      </c>
      <c r="R96" s="3">
        <f t="shared" si="7"/>
        <v>6.9963789274504629E-14</v>
      </c>
      <c r="S96" s="3">
        <f t="shared" si="8"/>
        <v>1.1474473084771403E-3</v>
      </c>
    </row>
    <row r="97" spans="1:19" x14ac:dyDescent="0.2">
      <c r="A97" t="s">
        <v>163</v>
      </c>
      <c r="B97" t="s">
        <v>158</v>
      </c>
      <c r="C97" t="s">
        <v>17</v>
      </c>
      <c r="D97">
        <v>6</v>
      </c>
      <c r="E97" t="s">
        <v>28</v>
      </c>
      <c r="F97">
        <v>378</v>
      </c>
      <c r="G97">
        <v>375</v>
      </c>
      <c r="H97">
        <v>1.2386871739590439</v>
      </c>
      <c r="I97">
        <v>0.44780261871240351</v>
      </c>
      <c r="J97">
        <v>96.812355756320727</v>
      </c>
      <c r="K97">
        <v>34.525258596604978</v>
      </c>
      <c r="L97">
        <v>1.2416895251696081</v>
      </c>
      <c r="M97">
        <v>0.40041028816477903</v>
      </c>
      <c r="N97">
        <v>96.044003726502993</v>
      </c>
      <c r="O97">
        <v>35.491706888282494</v>
      </c>
      <c r="P97" s="3">
        <f t="shared" si="5"/>
        <v>2.4179564615027503E-3</v>
      </c>
      <c r="Q97" s="3">
        <f t="shared" si="6"/>
        <v>0.1183594226932584</v>
      </c>
      <c r="R97" s="3">
        <f t="shared" si="7"/>
        <v>8.0000000000594543E-3</v>
      </c>
      <c r="S97" s="3">
        <f t="shared" si="8"/>
        <v>2.7230256767295302E-2</v>
      </c>
    </row>
    <row r="98" spans="1:19" x14ac:dyDescent="0.2">
      <c r="A98" t="s">
        <v>164</v>
      </c>
      <c r="B98" t="s">
        <v>158</v>
      </c>
      <c r="C98" t="s">
        <v>17</v>
      </c>
      <c r="D98">
        <v>7</v>
      </c>
      <c r="E98" t="s">
        <v>30</v>
      </c>
      <c r="F98">
        <v>185</v>
      </c>
      <c r="G98">
        <v>185</v>
      </c>
      <c r="H98">
        <v>1.2037072739576999</v>
      </c>
      <c r="I98">
        <v>0.33859367813104141</v>
      </c>
      <c r="J98">
        <v>92.939335851372761</v>
      </c>
      <c r="K98">
        <v>36.772501602788381</v>
      </c>
      <c r="L98">
        <v>1.233528693231724</v>
      </c>
      <c r="M98">
        <v>0.37781467993635459</v>
      </c>
      <c r="N98">
        <v>92.939335851349171</v>
      </c>
      <c r="O98">
        <v>36.872291478585339</v>
      </c>
      <c r="P98" s="3">
        <f t="shared" si="5"/>
        <v>2.417569971225789E-2</v>
      </c>
      <c r="Q98" s="3">
        <f t="shared" si="6"/>
        <v>0.10381015849336564</v>
      </c>
      <c r="R98" s="3">
        <f t="shared" si="7"/>
        <v>2.5382168498563548E-13</v>
      </c>
      <c r="S98" s="3">
        <f t="shared" si="8"/>
        <v>2.7063649096751652E-3</v>
      </c>
    </row>
    <row r="99" spans="1:19" x14ac:dyDescent="0.2">
      <c r="A99" t="s">
        <v>165</v>
      </c>
      <c r="B99" t="s">
        <v>158</v>
      </c>
      <c r="C99" t="s">
        <v>17</v>
      </c>
      <c r="D99">
        <v>8</v>
      </c>
      <c r="E99" t="s">
        <v>32</v>
      </c>
      <c r="F99">
        <v>280</v>
      </c>
      <c r="G99">
        <v>280</v>
      </c>
      <c r="H99">
        <v>1.2334615659280039</v>
      </c>
      <c r="I99">
        <v>0.42472654846745073</v>
      </c>
      <c r="J99">
        <v>93.52491817729998</v>
      </c>
      <c r="K99">
        <v>34.950270568598043</v>
      </c>
      <c r="L99">
        <v>1.2265017850129041</v>
      </c>
      <c r="M99">
        <v>0.42619343694993062</v>
      </c>
      <c r="N99">
        <v>93.524918177309331</v>
      </c>
      <c r="O99">
        <v>35.012849437973472</v>
      </c>
      <c r="P99" s="3">
        <f t="shared" si="5"/>
        <v>5.6744971757433128E-3</v>
      </c>
      <c r="Q99" s="3">
        <f t="shared" si="6"/>
        <v>3.441837333248798E-3</v>
      </c>
      <c r="R99" s="3">
        <f t="shared" si="7"/>
        <v>9.9981294662833081E-14</v>
      </c>
      <c r="S99" s="3">
        <f t="shared" si="8"/>
        <v>1.7873115264808569E-3</v>
      </c>
    </row>
    <row r="100" spans="1:19" x14ac:dyDescent="0.2">
      <c r="A100" t="s">
        <v>166</v>
      </c>
      <c r="B100" t="s">
        <v>158</v>
      </c>
      <c r="C100" t="s">
        <v>34</v>
      </c>
      <c r="D100">
        <v>1</v>
      </c>
      <c r="E100" t="s">
        <v>35</v>
      </c>
      <c r="F100">
        <v>164</v>
      </c>
      <c r="G100">
        <v>164</v>
      </c>
      <c r="H100">
        <v>1.3418630077808411</v>
      </c>
      <c r="I100">
        <v>0.834694614496166</v>
      </c>
      <c r="J100">
        <v>99.228150004684196</v>
      </c>
      <c r="K100">
        <v>33.736742749727448</v>
      </c>
      <c r="L100">
        <v>1.361223292098912</v>
      </c>
      <c r="M100">
        <v>0.84271015316200948</v>
      </c>
      <c r="N100">
        <v>99.228150004685233</v>
      </c>
      <c r="O100">
        <v>33.840071453395083</v>
      </c>
      <c r="P100" s="3">
        <f t="shared" si="5"/>
        <v>1.422271013906814E-2</v>
      </c>
      <c r="Q100" s="3">
        <f t="shared" si="6"/>
        <v>9.5116199036734614E-3</v>
      </c>
      <c r="R100" s="3">
        <f t="shared" si="7"/>
        <v>1.0454617909945555E-14</v>
      </c>
      <c r="S100" s="3">
        <f t="shared" si="8"/>
        <v>3.0534422425774425E-3</v>
      </c>
    </row>
    <row r="101" spans="1:19" x14ac:dyDescent="0.2">
      <c r="A101" t="s">
        <v>167</v>
      </c>
      <c r="B101" t="s">
        <v>158</v>
      </c>
      <c r="C101" t="s">
        <v>34</v>
      </c>
      <c r="D101">
        <v>2</v>
      </c>
      <c r="E101" t="s">
        <v>37</v>
      </c>
      <c r="F101">
        <v>125</v>
      </c>
      <c r="G101">
        <v>125</v>
      </c>
      <c r="H101">
        <v>1.2006504122431929</v>
      </c>
      <c r="I101">
        <v>0.32417091623828542</v>
      </c>
      <c r="J101">
        <v>94.562228093824899</v>
      </c>
      <c r="K101">
        <v>38.206824198678</v>
      </c>
      <c r="L101">
        <v>1.2175401663920069</v>
      </c>
      <c r="M101">
        <v>0.37163674630406529</v>
      </c>
      <c r="N101">
        <v>94.562228093827017</v>
      </c>
      <c r="O101">
        <v>38.360574615446239</v>
      </c>
      <c r="P101" s="3">
        <f t="shared" si="5"/>
        <v>1.3872030356800619E-2</v>
      </c>
      <c r="Q101" s="3">
        <f t="shared" si="6"/>
        <v>0.12772103549454805</v>
      </c>
      <c r="R101" s="3">
        <f t="shared" si="7"/>
        <v>2.2391787876065524E-14</v>
      </c>
      <c r="S101" s="3">
        <f t="shared" si="8"/>
        <v>4.0080321608720361E-3</v>
      </c>
    </row>
    <row r="102" spans="1:19" x14ac:dyDescent="0.2">
      <c r="A102" t="s">
        <v>168</v>
      </c>
      <c r="B102" t="s">
        <v>158</v>
      </c>
      <c r="C102" t="s">
        <v>34</v>
      </c>
      <c r="D102">
        <v>3</v>
      </c>
      <c r="E102" t="s">
        <v>39</v>
      </c>
      <c r="F102">
        <v>142</v>
      </c>
      <c r="G102">
        <v>142</v>
      </c>
      <c r="H102">
        <v>1.218645961479963</v>
      </c>
      <c r="I102">
        <v>0.34854111971215868</v>
      </c>
      <c r="J102">
        <v>94.181902767451405</v>
      </c>
      <c r="K102">
        <v>35.264705961446239</v>
      </c>
      <c r="L102">
        <v>1.249592119232684</v>
      </c>
      <c r="M102">
        <v>0.40780238312312128</v>
      </c>
      <c r="N102">
        <v>94.181902767447781</v>
      </c>
      <c r="O102">
        <v>35.389537169374229</v>
      </c>
      <c r="P102" s="3">
        <f t="shared" si="5"/>
        <v>2.4765007138268135E-2</v>
      </c>
      <c r="Q102" s="3">
        <f t="shared" si="6"/>
        <v>0.14531858042887111</v>
      </c>
      <c r="R102" s="3">
        <f t="shared" si="7"/>
        <v>3.8476266096728288E-14</v>
      </c>
      <c r="S102" s="3">
        <f t="shared" si="8"/>
        <v>3.5273478522917104E-3</v>
      </c>
    </row>
    <row r="103" spans="1:19" x14ac:dyDescent="0.2">
      <c r="A103" t="s">
        <v>169</v>
      </c>
      <c r="B103" t="s">
        <v>158</v>
      </c>
      <c r="C103" t="s">
        <v>34</v>
      </c>
      <c r="D103">
        <v>4</v>
      </c>
      <c r="E103" t="s">
        <v>41</v>
      </c>
      <c r="F103">
        <v>114</v>
      </c>
      <c r="G103">
        <v>113</v>
      </c>
      <c r="H103">
        <v>1.2178131092882789</v>
      </c>
      <c r="I103">
        <v>0.39203249867628293</v>
      </c>
      <c r="J103">
        <v>99.920635702755916</v>
      </c>
      <c r="K103">
        <v>34.237066422293722</v>
      </c>
      <c r="L103">
        <v>1.2343573432134389</v>
      </c>
      <c r="M103">
        <v>0.39589938334142161</v>
      </c>
      <c r="N103">
        <v>99.044138898354817</v>
      </c>
      <c r="O103">
        <v>35.493053335725662</v>
      </c>
      <c r="P103" s="3">
        <f t="shared" si="5"/>
        <v>1.340311540747992E-2</v>
      </c>
      <c r="Q103" s="3">
        <f t="shared" si="6"/>
        <v>9.7673419758875953E-3</v>
      </c>
      <c r="R103" s="3">
        <f t="shared" si="7"/>
        <v>8.8495575220318163E-3</v>
      </c>
      <c r="S103" s="3">
        <f t="shared" si="8"/>
        <v>3.538683757499448E-2</v>
      </c>
    </row>
    <row r="104" spans="1:19" x14ac:dyDescent="0.2">
      <c r="A104" t="s">
        <v>170</v>
      </c>
      <c r="B104" t="s">
        <v>158</v>
      </c>
      <c r="C104" t="s">
        <v>34</v>
      </c>
      <c r="D104">
        <v>5</v>
      </c>
      <c r="E104" t="s">
        <v>43</v>
      </c>
      <c r="F104">
        <v>164</v>
      </c>
      <c r="G104">
        <v>162</v>
      </c>
      <c r="H104">
        <v>1.2696904763146539</v>
      </c>
      <c r="I104">
        <v>0.52397666390380537</v>
      </c>
      <c r="J104">
        <v>94.264834344289284</v>
      </c>
      <c r="K104">
        <v>34.770441893552423</v>
      </c>
      <c r="L104">
        <v>1.2635409640148321</v>
      </c>
      <c r="M104">
        <v>0.4808859974818856</v>
      </c>
      <c r="N104">
        <v>93.115263193749144</v>
      </c>
      <c r="O104">
        <v>36.183779175559202</v>
      </c>
      <c r="P104" s="3">
        <f t="shared" si="5"/>
        <v>4.8668879561151067E-3</v>
      </c>
      <c r="Q104" s="3">
        <f t="shared" si="6"/>
        <v>8.9606822921773577E-2</v>
      </c>
      <c r="R104" s="3">
        <f t="shared" si="7"/>
        <v>1.2345679012345973E-2</v>
      </c>
      <c r="S104" s="3">
        <f t="shared" si="8"/>
        <v>3.9059968698942203E-2</v>
      </c>
    </row>
    <row r="105" spans="1:19" x14ac:dyDescent="0.2">
      <c r="A105" t="s">
        <v>171</v>
      </c>
      <c r="B105" t="s">
        <v>158</v>
      </c>
      <c r="C105" t="s">
        <v>34</v>
      </c>
      <c r="D105">
        <v>6</v>
      </c>
      <c r="E105" t="s">
        <v>45</v>
      </c>
      <c r="F105">
        <v>191</v>
      </c>
      <c r="G105">
        <v>191</v>
      </c>
      <c r="H105">
        <v>1.241103477828108</v>
      </c>
      <c r="I105">
        <v>0.40417987030335017</v>
      </c>
      <c r="J105">
        <v>95.722057118565459</v>
      </c>
      <c r="K105">
        <v>34.979693448054093</v>
      </c>
      <c r="L105">
        <v>1.229760045429392</v>
      </c>
      <c r="M105">
        <v>0.37815316964265322</v>
      </c>
      <c r="N105">
        <v>95.722057118577766</v>
      </c>
      <c r="O105">
        <v>35.071624469767393</v>
      </c>
      <c r="P105" s="3">
        <f t="shared" si="5"/>
        <v>9.2241022473252415E-3</v>
      </c>
      <c r="Q105" s="3">
        <f t="shared" si="6"/>
        <v>6.8825816494653844E-2</v>
      </c>
      <c r="R105" s="3">
        <f t="shared" si="7"/>
        <v>1.2856598106870884E-13</v>
      </c>
      <c r="S105" s="3">
        <f t="shared" si="8"/>
        <v>2.621236486851274E-3</v>
      </c>
    </row>
    <row r="106" spans="1:19" x14ac:dyDescent="0.2">
      <c r="A106" t="s">
        <v>172</v>
      </c>
      <c r="B106" t="s">
        <v>158</v>
      </c>
      <c r="C106" t="s">
        <v>34</v>
      </c>
      <c r="D106">
        <v>7</v>
      </c>
      <c r="E106" t="s">
        <v>47</v>
      </c>
      <c r="F106">
        <v>198</v>
      </c>
      <c r="G106">
        <v>198</v>
      </c>
      <c r="H106">
        <v>1.242418705196185</v>
      </c>
      <c r="I106">
        <v>0.43829014255268423</v>
      </c>
      <c r="J106">
        <v>95.930246232856433</v>
      </c>
      <c r="K106">
        <v>34.14755710899562</v>
      </c>
      <c r="L106">
        <v>1.2477444133477731</v>
      </c>
      <c r="M106">
        <v>0.44348326763373142</v>
      </c>
      <c r="N106">
        <v>95.93024623288494</v>
      </c>
      <c r="O106">
        <v>34.234116327978633</v>
      </c>
      <c r="P106" s="3">
        <f t="shared" si="5"/>
        <v>4.2682684808011805E-3</v>
      </c>
      <c r="Q106" s="3">
        <f t="shared" si="6"/>
        <v>1.1709855726363372E-2</v>
      </c>
      <c r="R106" s="3">
        <f t="shared" si="7"/>
        <v>2.9716357122122148E-13</v>
      </c>
      <c r="S106" s="3">
        <f t="shared" si="8"/>
        <v>2.5284490522184122E-3</v>
      </c>
    </row>
    <row r="107" spans="1:19" x14ac:dyDescent="0.2">
      <c r="A107" t="s">
        <v>173</v>
      </c>
      <c r="B107" t="s">
        <v>158</v>
      </c>
      <c r="C107" t="s">
        <v>34</v>
      </c>
      <c r="D107">
        <v>8</v>
      </c>
      <c r="E107" t="s">
        <v>49</v>
      </c>
      <c r="F107">
        <v>170</v>
      </c>
      <c r="G107">
        <v>170</v>
      </c>
      <c r="H107">
        <v>1.3228182024976081</v>
      </c>
      <c r="I107">
        <v>0.67627333341057527</v>
      </c>
      <c r="J107">
        <v>92.114016338441047</v>
      </c>
      <c r="K107">
        <v>36.654513053220207</v>
      </c>
      <c r="L107">
        <v>1.328298457140193</v>
      </c>
      <c r="M107">
        <v>0.69066256365688194</v>
      </c>
      <c r="N107">
        <v>92.114016338424662</v>
      </c>
      <c r="O107">
        <v>36.762798408931367</v>
      </c>
      <c r="P107" s="3">
        <f t="shared" si="5"/>
        <v>4.1257705398407632E-3</v>
      </c>
      <c r="Q107" s="3">
        <f t="shared" si="6"/>
        <v>2.0833951343937583E-2</v>
      </c>
      <c r="R107" s="3">
        <f t="shared" si="7"/>
        <v>1.7787863495637182E-13</v>
      </c>
      <c r="S107" s="3">
        <f t="shared" si="8"/>
        <v>2.9455144982883843E-3</v>
      </c>
    </row>
    <row r="108" spans="1:19" x14ac:dyDescent="0.2">
      <c r="A108" t="s">
        <v>174</v>
      </c>
      <c r="B108" t="s">
        <v>158</v>
      </c>
      <c r="C108" t="s">
        <v>34</v>
      </c>
      <c r="D108">
        <v>9</v>
      </c>
      <c r="E108" t="s">
        <v>51</v>
      </c>
      <c r="F108">
        <v>330</v>
      </c>
      <c r="G108">
        <v>330</v>
      </c>
      <c r="H108">
        <v>1.3251851136379791</v>
      </c>
      <c r="I108">
        <v>0.72525839842993001</v>
      </c>
      <c r="J108">
        <v>95.67734469190566</v>
      </c>
      <c r="K108">
        <v>34.66367539955791</v>
      </c>
      <c r="L108">
        <v>1.333893465766492</v>
      </c>
      <c r="M108">
        <v>0.71811141235385545</v>
      </c>
      <c r="N108">
        <v>95.677344691897972</v>
      </c>
      <c r="O108">
        <v>34.716315787362603</v>
      </c>
      <c r="P108" s="3">
        <f t="shared" si="5"/>
        <v>6.5285214689232273E-3</v>
      </c>
      <c r="Q108" s="3">
        <f t="shared" si="6"/>
        <v>9.9524752748990156E-3</v>
      </c>
      <c r="R108" s="3">
        <f t="shared" si="7"/>
        <v>8.0354157253021212E-14</v>
      </c>
      <c r="S108" s="3">
        <f t="shared" si="8"/>
        <v>1.5163010996649474E-3</v>
      </c>
    </row>
    <row r="109" spans="1:19" x14ac:dyDescent="0.2">
      <c r="A109" t="s">
        <v>175</v>
      </c>
      <c r="B109" t="s">
        <v>158</v>
      </c>
      <c r="C109" t="s">
        <v>34</v>
      </c>
      <c r="D109">
        <v>10</v>
      </c>
      <c r="E109" t="s">
        <v>53</v>
      </c>
      <c r="F109">
        <v>280</v>
      </c>
      <c r="G109">
        <v>277</v>
      </c>
      <c r="H109">
        <v>1.2448685638889929</v>
      </c>
      <c r="I109">
        <v>0.48063977796656959</v>
      </c>
      <c r="J109">
        <v>96.5874956578199</v>
      </c>
      <c r="K109">
        <v>34.770840598919712</v>
      </c>
      <c r="L109">
        <v>1.2441725720526819</v>
      </c>
      <c r="M109">
        <v>0.41183558274264281</v>
      </c>
      <c r="N109">
        <v>95.55262963291139</v>
      </c>
      <c r="O109">
        <v>36.049732335068747</v>
      </c>
      <c r="P109" s="3">
        <f t="shared" si="5"/>
        <v>5.5940136597184328E-4</v>
      </c>
      <c r="Q109" s="3">
        <f t="shared" si="6"/>
        <v>0.16706714549947646</v>
      </c>
      <c r="R109" s="3">
        <f t="shared" si="7"/>
        <v>1.0830324909782169E-2</v>
      </c>
      <c r="S109" s="3">
        <f t="shared" si="8"/>
        <v>3.5475762323620479E-2</v>
      </c>
    </row>
    <row r="110" spans="1:19" x14ac:dyDescent="0.2">
      <c r="A110" t="s">
        <v>176</v>
      </c>
      <c r="B110" t="s">
        <v>158</v>
      </c>
      <c r="C110" t="s">
        <v>55</v>
      </c>
      <c r="D110">
        <v>1</v>
      </c>
      <c r="E110" t="s">
        <v>56</v>
      </c>
      <c r="F110">
        <v>94</v>
      </c>
      <c r="G110">
        <v>93</v>
      </c>
      <c r="H110">
        <v>1.365489621428325</v>
      </c>
      <c r="I110">
        <v>0.68599656293452038</v>
      </c>
      <c r="J110">
        <v>98.976770542576887</v>
      </c>
      <c r="K110">
        <v>34.518515745263151</v>
      </c>
      <c r="L110">
        <v>1.3388133731248371</v>
      </c>
      <c r="M110">
        <v>0.64747508562653966</v>
      </c>
      <c r="N110">
        <v>97.923826175102676</v>
      </c>
      <c r="O110">
        <v>35.996457635572632</v>
      </c>
      <c r="P110" s="3">
        <f t="shared" si="5"/>
        <v>1.9925292680057879E-2</v>
      </c>
      <c r="Q110" s="3">
        <f t="shared" si="6"/>
        <v>5.9494918280453675E-2</v>
      </c>
      <c r="R110" s="3">
        <f t="shared" si="7"/>
        <v>1.0752688172042897E-2</v>
      </c>
      <c r="S110" s="3">
        <f t="shared" si="8"/>
        <v>4.10579814622909E-2</v>
      </c>
    </row>
    <row r="111" spans="1:19" x14ac:dyDescent="0.2">
      <c r="A111" t="s">
        <v>177</v>
      </c>
      <c r="B111" t="s">
        <v>158</v>
      </c>
      <c r="C111" t="s">
        <v>55</v>
      </c>
      <c r="D111">
        <v>2</v>
      </c>
      <c r="E111" t="s">
        <v>58</v>
      </c>
      <c r="F111">
        <v>561</v>
      </c>
      <c r="G111">
        <v>559</v>
      </c>
      <c r="H111">
        <v>1.264209034071538</v>
      </c>
      <c r="I111">
        <v>0.49506958633923731</v>
      </c>
      <c r="J111">
        <v>93.665616857780634</v>
      </c>
      <c r="K111">
        <v>36.101647940063792</v>
      </c>
      <c r="L111">
        <v>1.2706827475250151</v>
      </c>
      <c r="M111">
        <v>0.49542304956567751</v>
      </c>
      <c r="N111">
        <v>93.331693090036396</v>
      </c>
      <c r="O111">
        <v>36.499629236380912</v>
      </c>
      <c r="P111" s="3">
        <f t="shared" si="5"/>
        <v>5.0946732896833425E-3</v>
      </c>
      <c r="Q111" s="3">
        <f t="shared" si="6"/>
        <v>7.1345737092787427E-4</v>
      </c>
      <c r="R111" s="3">
        <f t="shared" si="7"/>
        <v>3.5778175310942294E-3</v>
      </c>
      <c r="S111" s="3">
        <f t="shared" si="8"/>
        <v>1.0903707918228195E-2</v>
      </c>
    </row>
    <row r="112" spans="1:19" x14ac:dyDescent="0.2">
      <c r="A112" t="s">
        <v>178</v>
      </c>
      <c r="B112" t="s">
        <v>158</v>
      </c>
      <c r="C112" t="s">
        <v>55</v>
      </c>
      <c r="D112">
        <v>3</v>
      </c>
      <c r="E112" t="s">
        <v>60</v>
      </c>
      <c r="F112">
        <v>723</v>
      </c>
      <c r="G112">
        <v>720</v>
      </c>
      <c r="H112">
        <v>1.2495770842809519</v>
      </c>
      <c r="I112">
        <v>0.46630249420991138</v>
      </c>
      <c r="J112">
        <v>96.42176197059328</v>
      </c>
      <c r="K112">
        <v>35.195513472311099</v>
      </c>
      <c r="L112">
        <v>1.258740972955448</v>
      </c>
      <c r="M112">
        <v>0.43891282160293382</v>
      </c>
      <c r="N112">
        <v>96.021671672050374</v>
      </c>
      <c r="O112">
        <v>35.689821358410761</v>
      </c>
      <c r="P112" s="3">
        <f t="shared" si="5"/>
        <v>7.280202099864728E-3</v>
      </c>
      <c r="Q112" s="3">
        <f t="shared" si="6"/>
        <v>6.2403446103371875E-2</v>
      </c>
      <c r="R112" s="3">
        <f t="shared" si="7"/>
        <v>4.1666666657227463E-3</v>
      </c>
      <c r="S112" s="3">
        <f t="shared" si="8"/>
        <v>1.3850108162090091E-2</v>
      </c>
    </row>
    <row r="113" spans="1:19" x14ac:dyDescent="0.2">
      <c r="A113" t="s">
        <v>179</v>
      </c>
      <c r="B113" t="s">
        <v>158</v>
      </c>
      <c r="C113" t="s">
        <v>62</v>
      </c>
      <c r="D113">
        <v>1</v>
      </c>
      <c r="E113" t="s">
        <v>63</v>
      </c>
      <c r="F113">
        <v>143</v>
      </c>
      <c r="G113">
        <v>142</v>
      </c>
      <c r="H113">
        <v>1.2968530927098081</v>
      </c>
      <c r="I113">
        <v>0.43061838808686759</v>
      </c>
      <c r="J113">
        <v>99.254267821697042</v>
      </c>
      <c r="K113">
        <v>32.873251486065833</v>
      </c>
      <c r="L113">
        <v>1.3224920087129119</v>
      </c>
      <c r="M113">
        <v>0.48308102917926837</v>
      </c>
      <c r="N113">
        <v>98.560182032734104</v>
      </c>
      <c r="O113">
        <v>33.904891093396657</v>
      </c>
      <c r="P113" s="3">
        <f t="shared" si="5"/>
        <v>1.9386821118152847E-2</v>
      </c>
      <c r="Q113" s="3">
        <f t="shared" si="6"/>
        <v>0.10860008554161671</v>
      </c>
      <c r="R113" s="3">
        <f t="shared" si="7"/>
        <v>7.0422535211269715E-3</v>
      </c>
      <c r="S113" s="3">
        <f t="shared" si="8"/>
        <v>3.0427456749204749E-2</v>
      </c>
    </row>
    <row r="114" spans="1:19" x14ac:dyDescent="0.2">
      <c r="A114" t="s">
        <v>180</v>
      </c>
      <c r="B114" t="s">
        <v>158</v>
      </c>
      <c r="C114" t="s">
        <v>62</v>
      </c>
      <c r="D114">
        <v>2</v>
      </c>
      <c r="E114" t="s">
        <v>65</v>
      </c>
      <c r="F114">
        <v>115</v>
      </c>
      <c r="G114">
        <v>115</v>
      </c>
      <c r="H114">
        <v>1.2229060017297779</v>
      </c>
      <c r="I114">
        <v>0.42088268350948138</v>
      </c>
      <c r="J114">
        <v>98.090610628022603</v>
      </c>
      <c r="K114">
        <v>37.367062037430813</v>
      </c>
      <c r="L114">
        <v>1.241898882691904</v>
      </c>
      <c r="M114">
        <v>0.46414229220558378</v>
      </c>
      <c r="N114">
        <v>98.090610628039713</v>
      </c>
      <c r="O114">
        <v>37.530594818900951</v>
      </c>
      <c r="P114" s="3">
        <f t="shared" si="5"/>
        <v>1.5293419799974067E-2</v>
      </c>
      <c r="Q114" s="3">
        <f t="shared" si="6"/>
        <v>9.3203333164350616E-2</v>
      </c>
      <c r="R114" s="3">
        <f t="shared" si="7"/>
        <v>1.7442922383248235E-13</v>
      </c>
      <c r="S114" s="3">
        <f t="shared" si="8"/>
        <v>4.3573192020868508E-3</v>
      </c>
    </row>
    <row r="115" spans="1:19" x14ac:dyDescent="0.2">
      <c r="A115" t="s">
        <v>181</v>
      </c>
      <c r="B115" t="s">
        <v>158</v>
      </c>
      <c r="C115" t="s">
        <v>62</v>
      </c>
      <c r="D115">
        <v>3</v>
      </c>
      <c r="E115" t="s">
        <v>67</v>
      </c>
      <c r="F115">
        <v>130</v>
      </c>
      <c r="G115">
        <v>129</v>
      </c>
      <c r="H115">
        <v>1.1691132451017889</v>
      </c>
      <c r="I115">
        <v>0.17318128356768361</v>
      </c>
      <c r="J115">
        <v>95.226366963860499</v>
      </c>
      <c r="K115">
        <v>40.107543017951087</v>
      </c>
      <c r="L115">
        <v>1.1856880482868499</v>
      </c>
      <c r="M115">
        <v>0.21088719063609709</v>
      </c>
      <c r="N115">
        <v>94.493856448727996</v>
      </c>
      <c r="O115">
        <v>40.967906000376878</v>
      </c>
      <c r="P115" s="3">
        <f t="shared" si="5"/>
        <v>1.3979059002078345E-2</v>
      </c>
      <c r="Q115" s="3">
        <f t="shared" si="6"/>
        <v>0.17879657344138114</v>
      </c>
      <c r="R115" s="3">
        <f t="shared" si="7"/>
        <v>7.7519379847721713E-3</v>
      </c>
      <c r="S115" s="3">
        <f t="shared" si="8"/>
        <v>2.1000902082178082E-2</v>
      </c>
    </row>
    <row r="116" spans="1:19" x14ac:dyDescent="0.2">
      <c r="A116" t="s">
        <v>182</v>
      </c>
      <c r="B116" t="s">
        <v>158</v>
      </c>
      <c r="C116" t="s">
        <v>62</v>
      </c>
      <c r="D116">
        <v>4</v>
      </c>
      <c r="E116" t="s">
        <v>69</v>
      </c>
      <c r="F116">
        <v>94</v>
      </c>
      <c r="G116">
        <v>93</v>
      </c>
      <c r="H116">
        <v>1.1771118296214891</v>
      </c>
      <c r="I116">
        <v>0.27713196917142169</v>
      </c>
      <c r="J116">
        <v>96.650450857396095</v>
      </c>
      <c r="K116">
        <v>37.151515970103773</v>
      </c>
      <c r="L116">
        <v>1.197854340331941</v>
      </c>
      <c r="M116">
        <v>0.33231225670558129</v>
      </c>
      <c r="N116">
        <v>95.622254571690661</v>
      </c>
      <c r="O116">
        <v>38.46570905964662</v>
      </c>
      <c r="P116" s="3">
        <f t="shared" si="5"/>
        <v>1.7316388155094006E-2</v>
      </c>
      <c r="Q116" s="3">
        <f t="shared" si="6"/>
        <v>0.16604951042491245</v>
      </c>
      <c r="R116" s="3">
        <f t="shared" si="7"/>
        <v>1.0752688171920969E-2</v>
      </c>
      <c r="S116" s="3">
        <f t="shared" si="8"/>
        <v>3.4165315593299002E-2</v>
      </c>
    </row>
    <row r="117" spans="1:19" x14ac:dyDescent="0.2">
      <c r="A117" t="s">
        <v>183</v>
      </c>
      <c r="B117" t="s">
        <v>158</v>
      </c>
      <c r="C117" t="s">
        <v>62</v>
      </c>
      <c r="D117">
        <v>5</v>
      </c>
      <c r="E117" t="s">
        <v>71</v>
      </c>
      <c r="F117">
        <v>139</v>
      </c>
      <c r="G117">
        <v>138</v>
      </c>
      <c r="H117">
        <v>1.273164109690897</v>
      </c>
      <c r="I117">
        <v>0.58514033271863686</v>
      </c>
      <c r="J117">
        <v>88.006106333167466</v>
      </c>
      <c r="K117">
        <v>35.801816559276162</v>
      </c>
      <c r="L117">
        <v>1.2729405431197069</v>
      </c>
      <c r="M117">
        <v>0.52401394836759851</v>
      </c>
      <c r="N117">
        <v>87.372968877536039</v>
      </c>
      <c r="O117">
        <v>36.571710804775392</v>
      </c>
      <c r="P117" s="3">
        <f t="shared" si="5"/>
        <v>1.7563001854126973E-4</v>
      </c>
      <c r="Q117" s="3">
        <f t="shared" si="6"/>
        <v>0.11665030013315192</v>
      </c>
      <c r="R117" s="3">
        <f t="shared" si="7"/>
        <v>7.2463768115611053E-3</v>
      </c>
      <c r="S117" s="3">
        <f t="shared" si="8"/>
        <v>2.1051633313219263E-2</v>
      </c>
    </row>
    <row r="118" spans="1:19" x14ac:dyDescent="0.2">
      <c r="A118" t="s">
        <v>184</v>
      </c>
      <c r="B118" t="s">
        <v>158</v>
      </c>
      <c r="C118" t="s">
        <v>62</v>
      </c>
      <c r="D118">
        <v>6</v>
      </c>
      <c r="E118" t="s">
        <v>73</v>
      </c>
      <c r="F118">
        <v>150</v>
      </c>
      <c r="G118">
        <v>150</v>
      </c>
      <c r="H118">
        <v>1.214175350446272</v>
      </c>
      <c r="I118">
        <v>0.32095923120479641</v>
      </c>
      <c r="J118">
        <v>96.417320868030643</v>
      </c>
      <c r="K118">
        <v>34.556861096606397</v>
      </c>
      <c r="L118">
        <v>1.1993643839684029</v>
      </c>
      <c r="M118">
        <v>0.30009267431561237</v>
      </c>
      <c r="N118">
        <v>96.417320868046303</v>
      </c>
      <c r="O118">
        <v>34.672629799738132</v>
      </c>
      <c r="P118" s="3">
        <f t="shared" si="5"/>
        <v>1.2349013090469802E-2</v>
      </c>
      <c r="Q118" s="3">
        <f t="shared" si="6"/>
        <v>6.9533709667428736E-2</v>
      </c>
      <c r="R118" s="3">
        <f t="shared" si="7"/>
        <v>1.6242270325665743E-13</v>
      </c>
      <c r="S118" s="3">
        <f t="shared" si="8"/>
        <v>3.3389074840988698E-3</v>
      </c>
    </row>
    <row r="119" spans="1:19" x14ac:dyDescent="0.2">
      <c r="A119" t="s">
        <v>185</v>
      </c>
      <c r="B119" t="s">
        <v>158</v>
      </c>
      <c r="C119" t="s">
        <v>62</v>
      </c>
      <c r="D119">
        <v>7</v>
      </c>
      <c r="E119" t="s">
        <v>75</v>
      </c>
      <c r="F119">
        <v>180</v>
      </c>
      <c r="G119">
        <v>180</v>
      </c>
      <c r="H119">
        <v>1.2587079770691501</v>
      </c>
      <c r="I119">
        <v>0.46432433339393298</v>
      </c>
      <c r="J119">
        <v>97.001290615245125</v>
      </c>
      <c r="K119">
        <v>34.442409765757063</v>
      </c>
      <c r="L119">
        <v>1.264566256035897</v>
      </c>
      <c r="M119">
        <v>0.46965193597640043</v>
      </c>
      <c r="N119">
        <v>97.001290615271657</v>
      </c>
      <c r="O119">
        <v>34.538483619776898</v>
      </c>
      <c r="P119" s="3">
        <f t="shared" si="5"/>
        <v>4.6326390086599443E-3</v>
      </c>
      <c r="Q119" s="3">
        <f t="shared" si="6"/>
        <v>1.1343725372687822E-2</v>
      </c>
      <c r="R119" s="3">
        <f t="shared" si="7"/>
        <v>2.7351868810191953E-13</v>
      </c>
      <c r="S119" s="3">
        <f t="shared" si="8"/>
        <v>2.7816465562727423E-3</v>
      </c>
    </row>
    <row r="120" spans="1:19" x14ac:dyDescent="0.2">
      <c r="A120" t="s">
        <v>186</v>
      </c>
      <c r="B120" t="s">
        <v>158</v>
      </c>
      <c r="C120" t="s">
        <v>62</v>
      </c>
      <c r="D120">
        <v>8</v>
      </c>
      <c r="E120" t="s">
        <v>77</v>
      </c>
      <c r="F120">
        <v>161</v>
      </c>
      <c r="G120">
        <v>161</v>
      </c>
      <c r="H120">
        <v>1.3477826642291271</v>
      </c>
      <c r="I120">
        <v>0.70059707859013276</v>
      </c>
      <c r="J120">
        <v>91.889047538817337</v>
      </c>
      <c r="K120">
        <v>36.109790872368443</v>
      </c>
      <c r="L120">
        <v>1.370089348645761</v>
      </c>
      <c r="M120">
        <v>0.6984879085783614</v>
      </c>
      <c r="N120">
        <v>91.889047538800014</v>
      </c>
      <c r="O120">
        <v>36.222458200350196</v>
      </c>
      <c r="P120" s="3">
        <f t="shared" si="5"/>
        <v>1.6281189572550571E-2</v>
      </c>
      <c r="Q120" s="3">
        <f t="shared" si="6"/>
        <v>3.0196227964263082E-3</v>
      </c>
      <c r="R120" s="3">
        <f t="shared" si="7"/>
        <v>1.8852118246754727E-13</v>
      </c>
      <c r="S120" s="3">
        <f t="shared" si="8"/>
        <v>3.1104274414115985E-3</v>
      </c>
    </row>
    <row r="121" spans="1:19" x14ac:dyDescent="0.2">
      <c r="A121" t="s">
        <v>187</v>
      </c>
      <c r="B121" t="s">
        <v>158</v>
      </c>
      <c r="C121" t="s">
        <v>62</v>
      </c>
      <c r="D121">
        <v>9</v>
      </c>
      <c r="E121" t="s">
        <v>79</v>
      </c>
      <c r="F121">
        <v>479</v>
      </c>
      <c r="G121">
        <v>476</v>
      </c>
      <c r="H121">
        <v>1.2255885601966461</v>
      </c>
      <c r="I121">
        <v>0.3578451803859542</v>
      </c>
      <c r="J121">
        <v>96.748736391697435</v>
      </c>
      <c r="K121">
        <v>36.81831960541065</v>
      </c>
      <c r="L121">
        <v>1.246327242439244</v>
      </c>
      <c r="M121">
        <v>0.39507686123931762</v>
      </c>
      <c r="N121">
        <v>96.142794410123088</v>
      </c>
      <c r="O121">
        <v>37.527264373111073</v>
      </c>
      <c r="P121" s="3">
        <f t="shared" si="5"/>
        <v>1.6639837063987521E-2</v>
      </c>
      <c r="Q121" s="3">
        <f t="shared" si="6"/>
        <v>9.4239082330894466E-2</v>
      </c>
      <c r="R121" s="3">
        <f t="shared" si="7"/>
        <v>6.3025210083819429E-3</v>
      </c>
      <c r="S121" s="3">
        <f t="shared" si="8"/>
        <v>1.8891458771196603E-2</v>
      </c>
    </row>
    <row r="122" spans="1:19" x14ac:dyDescent="0.2">
      <c r="A122" t="s">
        <v>188</v>
      </c>
      <c r="B122" t="s">
        <v>158</v>
      </c>
      <c r="C122" t="s">
        <v>62</v>
      </c>
      <c r="D122">
        <v>10</v>
      </c>
      <c r="E122" t="s">
        <v>81</v>
      </c>
      <c r="F122">
        <v>623</v>
      </c>
      <c r="G122">
        <v>622</v>
      </c>
      <c r="H122">
        <v>1.274870539604301</v>
      </c>
      <c r="I122">
        <v>0.53828315885263311</v>
      </c>
      <c r="J122">
        <v>93.190765595389607</v>
      </c>
      <c r="K122">
        <v>36.059183825669827</v>
      </c>
      <c r="L122">
        <v>1.276593075916022</v>
      </c>
      <c r="M122">
        <v>0.51424867971314303</v>
      </c>
      <c r="N122">
        <v>93.041181701992002</v>
      </c>
      <c r="O122">
        <v>36.251959612146507</v>
      </c>
      <c r="P122" s="3">
        <f t="shared" si="5"/>
        <v>1.3493229316515172E-3</v>
      </c>
      <c r="Q122" s="3">
        <f t="shared" si="6"/>
        <v>4.6737075052670898E-2</v>
      </c>
      <c r="R122" s="3">
        <f t="shared" si="7"/>
        <v>1.6077170416506222E-3</v>
      </c>
      <c r="S122" s="3">
        <f t="shared" si="8"/>
        <v>5.3176652666271128E-3</v>
      </c>
    </row>
    <row r="123" spans="1:19" x14ac:dyDescent="0.2">
      <c r="A123" t="s">
        <v>189</v>
      </c>
      <c r="B123" t="s">
        <v>158</v>
      </c>
      <c r="C123" t="s">
        <v>62</v>
      </c>
      <c r="D123">
        <v>11</v>
      </c>
      <c r="E123" t="s">
        <v>83</v>
      </c>
      <c r="F123">
        <v>247</v>
      </c>
      <c r="G123">
        <v>246</v>
      </c>
      <c r="H123">
        <v>1.1900919563719501</v>
      </c>
      <c r="I123">
        <v>0.30899308578949769</v>
      </c>
      <c r="J123">
        <v>95.529724720149119</v>
      </c>
      <c r="K123">
        <v>39.33282048243381</v>
      </c>
      <c r="L123">
        <v>1.2031956873360721</v>
      </c>
      <c r="M123">
        <v>0.32679719020649522</v>
      </c>
      <c r="N123">
        <v>95.142964701035211</v>
      </c>
      <c r="O123">
        <v>39.799721673213277</v>
      </c>
      <c r="P123" s="3">
        <f t="shared" si="5"/>
        <v>1.0890772882617472E-2</v>
      </c>
      <c r="Q123" s="3">
        <f t="shared" si="6"/>
        <v>5.4480592093669941E-2</v>
      </c>
      <c r="R123" s="3">
        <f t="shared" si="7"/>
        <v>4.065040650448634E-3</v>
      </c>
      <c r="S123" s="3">
        <f t="shared" si="8"/>
        <v>1.1731267736319601E-2</v>
      </c>
    </row>
    <row r="124" spans="1:19" x14ac:dyDescent="0.2">
      <c r="A124" t="s">
        <v>190</v>
      </c>
      <c r="B124" t="s">
        <v>158</v>
      </c>
      <c r="C124" t="s">
        <v>62</v>
      </c>
      <c r="D124">
        <v>12</v>
      </c>
      <c r="E124" t="s">
        <v>85</v>
      </c>
      <c r="F124">
        <v>328</v>
      </c>
      <c r="G124">
        <v>328</v>
      </c>
      <c r="H124">
        <v>1.239465240123985</v>
      </c>
      <c r="I124">
        <v>0.407044590537183</v>
      </c>
      <c r="J124">
        <v>96.458053086884846</v>
      </c>
      <c r="K124">
        <v>34.667436894511773</v>
      </c>
      <c r="L124">
        <v>1.2394101840119109</v>
      </c>
      <c r="M124">
        <v>0.40746359608514893</v>
      </c>
      <c r="N124">
        <v>96.458053086893941</v>
      </c>
      <c r="O124">
        <v>34.720404743405823</v>
      </c>
      <c r="P124" s="3">
        <f t="shared" si="5"/>
        <v>4.4421219693225797E-5</v>
      </c>
      <c r="Q124" s="3">
        <f t="shared" si="6"/>
        <v>1.0283263388230683E-3</v>
      </c>
      <c r="R124" s="3">
        <f t="shared" si="7"/>
        <v>9.4289141514562058E-14</v>
      </c>
      <c r="S124" s="3">
        <f t="shared" si="8"/>
        <v>1.5255539008112748E-3</v>
      </c>
    </row>
    <row r="125" spans="1:19" x14ac:dyDescent="0.2">
      <c r="A125" t="s">
        <v>191</v>
      </c>
      <c r="B125" t="s">
        <v>158</v>
      </c>
      <c r="C125" t="s">
        <v>62</v>
      </c>
      <c r="D125">
        <v>13</v>
      </c>
      <c r="E125" t="s">
        <v>87</v>
      </c>
      <c r="F125">
        <v>233</v>
      </c>
      <c r="G125">
        <v>231</v>
      </c>
      <c r="H125">
        <v>1.233490619830895</v>
      </c>
      <c r="I125">
        <v>0.48581492173246588</v>
      </c>
      <c r="J125">
        <v>91.350495342970277</v>
      </c>
      <c r="K125">
        <v>36.70222713193025</v>
      </c>
      <c r="L125">
        <v>1.232364546347313</v>
      </c>
      <c r="M125">
        <v>0.40005590852749318</v>
      </c>
      <c r="N125">
        <v>90.5663709194246</v>
      </c>
      <c r="O125">
        <v>37.584153779161049</v>
      </c>
      <c r="P125" s="3">
        <f t="shared" si="5"/>
        <v>9.1375030782872839E-4</v>
      </c>
      <c r="Q125" s="3">
        <f t="shared" si="6"/>
        <v>0.21436757057439898</v>
      </c>
      <c r="R125" s="3">
        <f t="shared" si="7"/>
        <v>8.6580086580183221E-3</v>
      </c>
      <c r="S125" s="3">
        <f t="shared" si="8"/>
        <v>2.346538523689717E-2</v>
      </c>
    </row>
    <row r="126" spans="1:19" x14ac:dyDescent="0.2">
      <c r="A126" t="s">
        <v>192</v>
      </c>
      <c r="B126" t="s">
        <v>158</v>
      </c>
      <c r="C126" t="s">
        <v>62</v>
      </c>
      <c r="D126">
        <v>14</v>
      </c>
      <c r="E126" t="s">
        <v>89</v>
      </c>
      <c r="F126">
        <v>302</v>
      </c>
      <c r="G126">
        <v>301</v>
      </c>
      <c r="H126">
        <v>1.3175441766113949</v>
      </c>
      <c r="I126">
        <v>0.58139988478991</v>
      </c>
      <c r="J126">
        <v>95.546489353148473</v>
      </c>
      <c r="K126">
        <v>34.595550650905423</v>
      </c>
      <c r="L126">
        <v>1.341251307418128</v>
      </c>
      <c r="M126">
        <v>0.57695949232353017</v>
      </c>
      <c r="N126">
        <v>95.230110249323204</v>
      </c>
      <c r="O126">
        <v>35.029716492055123</v>
      </c>
      <c r="P126" s="3">
        <f t="shared" si="5"/>
        <v>1.7675383185548368E-2</v>
      </c>
      <c r="Q126" s="3">
        <f t="shared" si="6"/>
        <v>7.6961944910508345E-3</v>
      </c>
      <c r="R126" s="3">
        <f t="shared" si="7"/>
        <v>3.3222591362852922E-3</v>
      </c>
      <c r="S126" s="3">
        <f t="shared" si="8"/>
        <v>1.2394215101574398E-2</v>
      </c>
    </row>
    <row r="127" spans="1:19" x14ac:dyDescent="0.2">
      <c r="A127" t="s">
        <v>193</v>
      </c>
      <c r="B127" t="s">
        <v>158</v>
      </c>
      <c r="C127" t="s">
        <v>62</v>
      </c>
      <c r="D127">
        <v>15</v>
      </c>
      <c r="E127" t="s">
        <v>91</v>
      </c>
      <c r="F127">
        <v>1100</v>
      </c>
      <c r="G127">
        <v>1096</v>
      </c>
      <c r="H127">
        <v>1.252328982874654</v>
      </c>
      <c r="I127">
        <v>0.4658733406156445</v>
      </c>
      <c r="J127">
        <v>94.759977330492902</v>
      </c>
      <c r="K127">
        <v>36.401563149680513</v>
      </c>
      <c r="L127">
        <v>1.259343992143559</v>
      </c>
      <c r="M127">
        <v>0.44396549524731022</v>
      </c>
      <c r="N127">
        <v>94.415395594854971</v>
      </c>
      <c r="O127">
        <v>36.797012077274758</v>
      </c>
      <c r="P127" s="3">
        <f t="shared" si="5"/>
        <v>5.5703678364833094E-3</v>
      </c>
      <c r="Q127" s="3">
        <f t="shared" si="6"/>
        <v>4.934582890530842E-2</v>
      </c>
      <c r="R127" s="3">
        <f t="shared" si="7"/>
        <v>3.6496350353343041E-3</v>
      </c>
      <c r="S127" s="3">
        <f t="shared" si="8"/>
        <v>1.074676733979898E-2</v>
      </c>
    </row>
    <row r="128" spans="1:19" x14ac:dyDescent="0.2">
      <c r="A128" t="s">
        <v>194</v>
      </c>
      <c r="B128" t="s">
        <v>158</v>
      </c>
      <c r="C128" t="s">
        <v>93</v>
      </c>
      <c r="D128">
        <v>1</v>
      </c>
      <c r="E128" t="s">
        <v>94</v>
      </c>
      <c r="F128">
        <v>161</v>
      </c>
      <c r="G128">
        <v>160</v>
      </c>
      <c r="H128">
        <v>1.2203144754697901</v>
      </c>
      <c r="I128">
        <v>0.35043512131290849</v>
      </c>
      <c r="J128">
        <v>97.819061385708096</v>
      </c>
      <c r="K128">
        <v>37.79910040954595</v>
      </c>
      <c r="L128">
        <v>1.2185117503486991</v>
      </c>
      <c r="M128">
        <v>0.35967292042914162</v>
      </c>
      <c r="N128">
        <v>97.211489575854216</v>
      </c>
      <c r="O128">
        <v>38.577248423581032</v>
      </c>
      <c r="P128" s="3">
        <f t="shared" si="5"/>
        <v>1.479448286465148E-3</v>
      </c>
      <c r="Q128" s="3">
        <f t="shared" si="6"/>
        <v>2.5683888309442647E-2</v>
      </c>
      <c r="R128" s="3">
        <f t="shared" si="7"/>
        <v>6.2500000000492864E-3</v>
      </c>
      <c r="S128" s="3">
        <f t="shared" si="8"/>
        <v>2.0171164244037306E-2</v>
      </c>
    </row>
    <row r="129" spans="1:19" x14ac:dyDescent="0.2">
      <c r="A129" t="s">
        <v>195</v>
      </c>
      <c r="B129" t="s">
        <v>158</v>
      </c>
      <c r="C129" t="s">
        <v>93</v>
      </c>
      <c r="D129">
        <v>2</v>
      </c>
      <c r="E129" t="s">
        <v>96</v>
      </c>
      <c r="F129">
        <v>189</v>
      </c>
      <c r="G129">
        <v>189</v>
      </c>
      <c r="H129">
        <v>1.2547893020379171</v>
      </c>
      <c r="I129">
        <v>0.44545884964442189</v>
      </c>
      <c r="J129">
        <v>90.24840299440136</v>
      </c>
      <c r="K129">
        <v>39.223576643791993</v>
      </c>
      <c r="L129">
        <v>1.2544412771744351</v>
      </c>
      <c r="M129">
        <v>0.44556330104012032</v>
      </c>
      <c r="N129">
        <v>90.248402994425064</v>
      </c>
      <c r="O129">
        <v>39.327756313697911</v>
      </c>
      <c r="P129" s="3">
        <f t="shared" si="5"/>
        <v>2.7743416117959952E-4</v>
      </c>
      <c r="Q129" s="3">
        <f t="shared" si="6"/>
        <v>2.3442549118069905E-4</v>
      </c>
      <c r="R129" s="3">
        <f t="shared" si="7"/>
        <v>2.6264958579290537E-13</v>
      </c>
      <c r="S129" s="3">
        <f t="shared" si="8"/>
        <v>2.6490112752664643E-3</v>
      </c>
    </row>
    <row r="130" spans="1:19" x14ac:dyDescent="0.2">
      <c r="A130" t="s">
        <v>196</v>
      </c>
      <c r="B130" t="s">
        <v>158</v>
      </c>
      <c r="C130" t="s">
        <v>93</v>
      </c>
      <c r="D130">
        <v>3</v>
      </c>
      <c r="E130" t="s">
        <v>98</v>
      </c>
      <c r="F130">
        <v>185</v>
      </c>
      <c r="G130">
        <v>185</v>
      </c>
      <c r="H130">
        <v>1.2847736429754959</v>
      </c>
      <c r="I130">
        <v>0.46600514399498633</v>
      </c>
      <c r="J130">
        <v>98.446699756791887</v>
      </c>
      <c r="K130">
        <v>32.567290391454399</v>
      </c>
      <c r="L130">
        <v>1.322939740025868</v>
      </c>
      <c r="M130">
        <v>0.54301070571709131</v>
      </c>
      <c r="N130">
        <v>98.446699756811796</v>
      </c>
      <c r="O130">
        <v>32.655668546868327</v>
      </c>
      <c r="P130" s="3">
        <f t="shared" si="5"/>
        <v>2.884945995319925E-2</v>
      </c>
      <c r="Q130" s="3">
        <f t="shared" si="6"/>
        <v>0.14181223484427008</v>
      </c>
      <c r="R130" s="3">
        <f t="shared" si="7"/>
        <v>2.0223539748086294E-13</v>
      </c>
      <c r="S130" s="3">
        <f t="shared" si="8"/>
        <v>2.7063649083492129E-3</v>
      </c>
    </row>
    <row r="131" spans="1:19" x14ac:dyDescent="0.2">
      <c r="A131" t="s">
        <v>197</v>
      </c>
      <c r="B131" t="s">
        <v>158</v>
      </c>
      <c r="C131" t="s">
        <v>93</v>
      </c>
      <c r="D131">
        <v>4</v>
      </c>
      <c r="E131" t="s">
        <v>100</v>
      </c>
      <c r="F131">
        <v>197</v>
      </c>
      <c r="G131">
        <v>195</v>
      </c>
      <c r="H131">
        <v>1.2348012021855259</v>
      </c>
      <c r="I131">
        <v>0.40991927758885061</v>
      </c>
      <c r="J131">
        <v>97.020019410553658</v>
      </c>
      <c r="K131">
        <v>34.31115836118677</v>
      </c>
      <c r="L131">
        <v>1.2275708243079519</v>
      </c>
      <c r="M131">
        <v>0.37861104444050042</v>
      </c>
      <c r="N131">
        <v>96.035044594198482</v>
      </c>
      <c r="O131">
        <v>35.585444990817606</v>
      </c>
      <c r="P131" s="3">
        <f t="shared" ref="P131:P136" si="9">ABS(H131-L131)/L131</f>
        <v>5.889988369225151E-3</v>
      </c>
      <c r="Q131" s="3">
        <f t="shared" si="6"/>
        <v>8.2692339824942285E-2</v>
      </c>
      <c r="R131" s="3">
        <f t="shared" si="7"/>
        <v>1.0256410256456312E-2</v>
      </c>
      <c r="S131" s="3">
        <f t="shared" si="8"/>
        <v>3.5809208791955552E-2</v>
      </c>
    </row>
    <row r="132" spans="1:19" x14ac:dyDescent="0.2">
      <c r="A132" t="s">
        <v>198</v>
      </c>
      <c r="B132" t="s">
        <v>158</v>
      </c>
      <c r="C132" t="s">
        <v>93</v>
      </c>
      <c r="D132">
        <v>5</v>
      </c>
      <c r="E132" t="s">
        <v>102</v>
      </c>
      <c r="F132">
        <v>145</v>
      </c>
      <c r="G132">
        <v>144</v>
      </c>
      <c r="H132">
        <v>1.2720726973187371</v>
      </c>
      <c r="I132">
        <v>0.48522923248793809</v>
      </c>
      <c r="J132">
        <v>96.676313597212939</v>
      </c>
      <c r="K132">
        <v>35.862217233393451</v>
      </c>
      <c r="L132">
        <v>1.262881589476327</v>
      </c>
      <c r="M132">
        <v>0.47294682512931641</v>
      </c>
      <c r="N132">
        <v>96.009580399995116</v>
      </c>
      <c r="O132">
        <v>36.749910646905683</v>
      </c>
      <c r="P132" s="3">
        <f t="shared" si="9"/>
        <v>7.2778856854040404E-3</v>
      </c>
      <c r="Q132" s="3">
        <f t="shared" si="6"/>
        <v>2.5969954138635652E-2</v>
      </c>
      <c r="R132" s="3">
        <f t="shared" si="7"/>
        <v>6.9444444443989796E-3</v>
      </c>
      <c r="S132" s="3">
        <f t="shared" si="8"/>
        <v>2.4154981546519062E-2</v>
      </c>
    </row>
    <row r="133" spans="1:19" x14ac:dyDescent="0.2">
      <c r="A133" t="s">
        <v>199</v>
      </c>
      <c r="B133" t="s">
        <v>158</v>
      </c>
      <c r="C133" t="s">
        <v>93</v>
      </c>
      <c r="D133">
        <v>6</v>
      </c>
      <c r="E133" t="s">
        <v>104</v>
      </c>
      <c r="F133">
        <v>207</v>
      </c>
      <c r="G133">
        <v>207</v>
      </c>
      <c r="H133">
        <v>1.3061856939646399</v>
      </c>
      <c r="I133">
        <v>0.58495046544961826</v>
      </c>
      <c r="J133">
        <v>94.679384423395476</v>
      </c>
      <c r="K133">
        <v>34.161647341275341</v>
      </c>
      <c r="L133">
        <v>1.3323716273309409</v>
      </c>
      <c r="M133">
        <v>0.60989998894027098</v>
      </c>
      <c r="N133">
        <v>94.67938442339323</v>
      </c>
      <c r="O133">
        <v>34.244463577572937</v>
      </c>
      <c r="P133" s="3">
        <f t="shared" si="9"/>
        <v>1.9653625782138372E-2</v>
      </c>
      <c r="Q133" s="3">
        <f t="shared" si="6"/>
        <v>4.0907565081290863E-2</v>
      </c>
      <c r="R133" s="3">
        <f t="shared" si="7"/>
        <v>2.3714930749456243E-14</v>
      </c>
      <c r="S133" s="3">
        <f t="shared" si="8"/>
        <v>2.4183832259481843E-3</v>
      </c>
    </row>
    <row r="134" spans="1:19" x14ac:dyDescent="0.2">
      <c r="A134" t="s">
        <v>200</v>
      </c>
      <c r="B134" t="s">
        <v>158</v>
      </c>
      <c r="C134" t="s">
        <v>93</v>
      </c>
      <c r="D134">
        <v>7</v>
      </c>
      <c r="E134" t="s">
        <v>106</v>
      </c>
      <c r="F134">
        <v>172</v>
      </c>
      <c r="G134">
        <v>171</v>
      </c>
      <c r="H134">
        <v>1.343363489717988</v>
      </c>
      <c r="I134">
        <v>1.03028635991429</v>
      </c>
      <c r="J134">
        <v>88.995478813306889</v>
      </c>
      <c r="K134">
        <v>36.82674761488019</v>
      </c>
      <c r="L134">
        <v>1.342900192660484</v>
      </c>
      <c r="M134">
        <v>1.031547827931087</v>
      </c>
      <c r="N134">
        <v>88.478063238798882</v>
      </c>
      <c r="O134">
        <v>37.446721975213713</v>
      </c>
      <c r="P134" s="3">
        <f t="shared" si="9"/>
        <v>3.4499738702559174E-4</v>
      </c>
      <c r="Q134" s="3">
        <f t="shared" si="6"/>
        <v>1.2228885395717439E-3</v>
      </c>
      <c r="R134" s="3">
        <f t="shared" si="7"/>
        <v>5.847953216511108E-3</v>
      </c>
      <c r="S134" s="3">
        <f t="shared" si="8"/>
        <v>1.6556171745657423E-2</v>
      </c>
    </row>
    <row r="135" spans="1:19" x14ac:dyDescent="0.2">
      <c r="A135" t="s">
        <v>201</v>
      </c>
      <c r="B135" t="s">
        <v>158</v>
      </c>
      <c r="C135" t="s">
        <v>93</v>
      </c>
      <c r="D135">
        <v>8</v>
      </c>
      <c r="E135" t="s">
        <v>108</v>
      </c>
      <c r="F135">
        <v>270</v>
      </c>
      <c r="G135">
        <v>270</v>
      </c>
      <c r="H135">
        <v>1.2542481878959131</v>
      </c>
      <c r="I135">
        <v>0.4712015659106874</v>
      </c>
      <c r="J135">
        <v>93.731390981097206</v>
      </c>
      <c r="K135">
        <v>36.447925980313158</v>
      </c>
      <c r="L135">
        <v>1.24201197372909</v>
      </c>
      <c r="M135">
        <v>0.45196203400835733</v>
      </c>
      <c r="N135">
        <v>93.731390981094776</v>
      </c>
      <c r="O135">
        <v>36.515610209422029</v>
      </c>
      <c r="P135" s="3">
        <f t="shared" si="9"/>
        <v>9.8519293095736815E-3</v>
      </c>
      <c r="Q135" s="3">
        <f t="shared" si="6"/>
        <v>4.2568911666536827E-2</v>
      </c>
      <c r="R135" s="3">
        <f t="shared" si="7"/>
        <v>2.5925745162468297E-14</v>
      </c>
      <c r="S135" s="3">
        <f t="shared" si="8"/>
        <v>1.8535697122598271E-3</v>
      </c>
    </row>
    <row r="136" spans="1:19" x14ac:dyDescent="0.2">
      <c r="A136" t="s">
        <v>202</v>
      </c>
      <c r="B136" t="s">
        <v>158</v>
      </c>
      <c r="C136" t="s">
        <v>93</v>
      </c>
      <c r="D136">
        <v>9</v>
      </c>
      <c r="E136" t="s">
        <v>110</v>
      </c>
      <c r="F136">
        <v>233</v>
      </c>
      <c r="G136">
        <v>233</v>
      </c>
      <c r="H136">
        <v>1.2834769494745799</v>
      </c>
      <c r="I136">
        <v>0.50795594701447089</v>
      </c>
      <c r="J136">
        <v>93.868766033147182</v>
      </c>
      <c r="K136">
        <v>37.344202308931308</v>
      </c>
      <c r="L136">
        <v>1.3071691000648531</v>
      </c>
      <c r="M136">
        <v>0.52571992339609575</v>
      </c>
      <c r="N136">
        <v>93.868766033147168</v>
      </c>
      <c r="O136">
        <v>37.424598962393063</v>
      </c>
      <c r="P136" s="3">
        <f t="shared" si="9"/>
        <v>1.8124778645010609E-2</v>
      </c>
      <c r="Q136" s="3">
        <f t="shared" si="6"/>
        <v>3.3789810108149271E-2</v>
      </c>
      <c r="R136" s="3">
        <f t="shared" si="7"/>
        <v>1.5139066289828326E-16</v>
      </c>
      <c r="S136" s="3">
        <f t="shared" si="8"/>
        <v>2.148230193262532E-3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regional_new_tort_merged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 Zhang (22756463)</cp:lastModifiedBy>
  <dcterms:created xsi:type="dcterms:W3CDTF">2026-04-24T05:29:15Z</dcterms:created>
  <dcterms:modified xsi:type="dcterms:W3CDTF">2026-04-24T05:31:19Z</dcterms:modified>
</cp:coreProperties>
</file>