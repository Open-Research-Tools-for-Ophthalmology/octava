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22756463_student_uwa_edu_au/Documents/M4 Backup/dev/octava/regional_analysis/"/>
    </mc:Choice>
  </mc:AlternateContent>
  <xr:revisionPtr revIDLastSave="90" documentId="8_{5BB45B78-0EE8-5946-A343-25A323418217}" xr6:coauthVersionLast="47" xr6:coauthVersionMax="47" xr10:uidLastSave="{7DF92FD2-C690-2F4A-8386-1E53F26837DE}"/>
  <bookViews>
    <workbookView xWindow="9400" yWindow="760" windowWidth="20840" windowHeight="18000" xr2:uid="{00000000-000D-0000-FFFF-FFFF00000000}"/>
  </bookViews>
  <sheets>
    <sheet name="Regional analysis_Square Grid" sheetId="1" r:id="rId1"/>
    <sheet name="Regional analysis_ETDRS Grid" sheetId="2" r:id="rId2"/>
    <sheet name="Regional analysis_Extended ETDR" sheetId="3" r:id="rId3"/>
    <sheet name="Regional analysis_Foveal Ring" sheetId="4" r:id="rId4"/>
    <sheet name="Regional analysis_ON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1" l="1"/>
  <c r="K45" i="1"/>
  <c r="J45" i="1"/>
  <c r="I45" i="1"/>
  <c r="H45" i="1"/>
  <c r="G45" i="1"/>
  <c r="F45" i="1"/>
  <c r="E45" i="1"/>
  <c r="D45" i="1"/>
  <c r="B45" i="1"/>
  <c r="L45" i="1"/>
  <c r="C45" i="1"/>
  <c r="D38" i="1"/>
  <c r="D39" i="1"/>
  <c r="E39" i="1"/>
  <c r="M39" i="1"/>
  <c r="C40" i="1"/>
  <c r="F40" i="1"/>
  <c r="F42" i="1"/>
  <c r="G42" i="1"/>
  <c r="B30" i="1"/>
  <c r="B41" i="1" s="1"/>
  <c r="B29" i="1"/>
  <c r="B40" i="1" s="1"/>
  <c r="B43" i="1"/>
  <c r="M25" i="1"/>
  <c r="M36" i="1" s="1"/>
  <c r="I29" i="1"/>
  <c r="I40" i="1" s="1"/>
  <c r="H27" i="1"/>
  <c r="H38" i="1" s="1"/>
  <c r="G28" i="1"/>
  <c r="G39" i="1" s="1"/>
  <c r="F30" i="1"/>
  <c r="F41" i="1" s="1"/>
  <c r="E29" i="1"/>
  <c r="E40" i="1" s="1"/>
  <c r="D28" i="1"/>
  <c r="M33" i="1"/>
  <c r="M44" i="1" s="1"/>
  <c r="L33" i="1"/>
  <c r="L44" i="1" s="1"/>
  <c r="K33" i="1"/>
  <c r="K44" i="1" s="1"/>
  <c r="J33" i="1"/>
  <c r="J44" i="1" s="1"/>
  <c r="I33" i="1"/>
  <c r="I44" i="1" s="1"/>
  <c r="H33" i="1"/>
  <c r="H44" i="1" s="1"/>
  <c r="G33" i="1"/>
  <c r="G44" i="1" s="1"/>
  <c r="F33" i="1"/>
  <c r="F44" i="1" s="1"/>
  <c r="E33" i="1"/>
  <c r="E44" i="1" s="1"/>
  <c r="D33" i="1"/>
  <c r="D44" i="1" s="1"/>
  <c r="C33" i="1"/>
  <c r="C44" i="1" s="1"/>
  <c r="M32" i="1"/>
  <c r="M43" i="1" s="1"/>
  <c r="L32" i="1"/>
  <c r="L43" i="1" s="1"/>
  <c r="K32" i="1"/>
  <c r="K43" i="1" s="1"/>
  <c r="J32" i="1"/>
  <c r="J43" i="1" s="1"/>
  <c r="I32" i="1"/>
  <c r="I43" i="1" s="1"/>
  <c r="H32" i="1"/>
  <c r="H43" i="1" s="1"/>
  <c r="G32" i="1"/>
  <c r="G43" i="1" s="1"/>
  <c r="F32" i="1"/>
  <c r="F43" i="1" s="1"/>
  <c r="E32" i="1"/>
  <c r="E43" i="1" s="1"/>
  <c r="D32" i="1"/>
  <c r="D43" i="1" s="1"/>
  <c r="C32" i="1"/>
  <c r="C43" i="1" s="1"/>
  <c r="M31" i="1"/>
  <c r="M42" i="1" s="1"/>
  <c r="L31" i="1"/>
  <c r="L42" i="1" s="1"/>
  <c r="K31" i="1"/>
  <c r="K42" i="1" s="1"/>
  <c r="J31" i="1"/>
  <c r="J42" i="1" s="1"/>
  <c r="I31" i="1"/>
  <c r="I42" i="1" s="1"/>
  <c r="H31" i="1"/>
  <c r="H42" i="1" s="1"/>
  <c r="G31" i="1"/>
  <c r="F31" i="1"/>
  <c r="E31" i="1"/>
  <c r="E42" i="1" s="1"/>
  <c r="D31" i="1"/>
  <c r="D42" i="1" s="1"/>
  <c r="C31" i="1"/>
  <c r="C42" i="1" s="1"/>
  <c r="M30" i="1"/>
  <c r="M41" i="1" s="1"/>
  <c r="L30" i="1"/>
  <c r="L41" i="1" s="1"/>
  <c r="K30" i="1"/>
  <c r="K41" i="1" s="1"/>
  <c r="J30" i="1"/>
  <c r="J41" i="1" s="1"/>
  <c r="I30" i="1"/>
  <c r="I41" i="1" s="1"/>
  <c r="H30" i="1"/>
  <c r="H41" i="1" s="1"/>
  <c r="G30" i="1"/>
  <c r="G41" i="1" s="1"/>
  <c r="E30" i="1"/>
  <c r="E41" i="1" s="1"/>
  <c r="D30" i="1"/>
  <c r="D41" i="1" s="1"/>
  <c r="C30" i="1"/>
  <c r="C41" i="1" s="1"/>
  <c r="M29" i="1"/>
  <c r="M40" i="1" s="1"/>
  <c r="L29" i="1"/>
  <c r="L40" i="1" s="1"/>
  <c r="K29" i="1"/>
  <c r="K40" i="1" s="1"/>
  <c r="J29" i="1"/>
  <c r="J40" i="1" s="1"/>
  <c r="H29" i="1"/>
  <c r="H40" i="1" s="1"/>
  <c r="G29" i="1"/>
  <c r="G40" i="1" s="1"/>
  <c r="F29" i="1"/>
  <c r="D29" i="1"/>
  <c r="D40" i="1" s="1"/>
  <c r="C29" i="1"/>
  <c r="M28" i="1"/>
  <c r="L28" i="1"/>
  <c r="L39" i="1" s="1"/>
  <c r="K28" i="1"/>
  <c r="K39" i="1" s="1"/>
  <c r="J28" i="1"/>
  <c r="J39" i="1" s="1"/>
  <c r="I28" i="1"/>
  <c r="I39" i="1" s="1"/>
  <c r="H28" i="1"/>
  <c r="H39" i="1" s="1"/>
  <c r="F28" i="1"/>
  <c r="F39" i="1" s="1"/>
  <c r="E28" i="1"/>
  <c r="C28" i="1"/>
  <c r="C39" i="1" s="1"/>
  <c r="M27" i="1"/>
  <c r="M38" i="1" s="1"/>
  <c r="L27" i="1"/>
  <c r="L38" i="1" s="1"/>
  <c r="K27" i="1"/>
  <c r="K38" i="1" s="1"/>
  <c r="J27" i="1"/>
  <c r="J38" i="1" s="1"/>
  <c r="I27" i="1"/>
  <c r="I38" i="1" s="1"/>
  <c r="G27" i="1"/>
  <c r="G38" i="1" s="1"/>
  <c r="F27" i="1"/>
  <c r="F38" i="1" s="1"/>
  <c r="E27" i="1"/>
  <c r="E38" i="1" s="1"/>
  <c r="D27" i="1"/>
  <c r="C27" i="1"/>
  <c r="C38" i="1" s="1"/>
  <c r="M26" i="1"/>
  <c r="M37" i="1" s="1"/>
  <c r="L26" i="1"/>
  <c r="L37" i="1" s="1"/>
  <c r="K26" i="1"/>
  <c r="K37" i="1" s="1"/>
  <c r="J26" i="1"/>
  <c r="J37" i="1" s="1"/>
  <c r="I26" i="1"/>
  <c r="I37" i="1" s="1"/>
  <c r="H26" i="1"/>
  <c r="H37" i="1" s="1"/>
  <c r="G26" i="1"/>
  <c r="G37" i="1" s="1"/>
  <c r="F26" i="1"/>
  <c r="F37" i="1" s="1"/>
  <c r="E26" i="1"/>
  <c r="E37" i="1" s="1"/>
  <c r="D26" i="1"/>
  <c r="D37" i="1" s="1"/>
  <c r="C26" i="1"/>
  <c r="C37" i="1" s="1"/>
  <c r="L25" i="1"/>
  <c r="L36" i="1" s="1"/>
  <c r="K25" i="1"/>
  <c r="K36" i="1" s="1"/>
  <c r="J25" i="1"/>
  <c r="J36" i="1" s="1"/>
  <c r="I25" i="1"/>
  <c r="I36" i="1" s="1"/>
  <c r="H25" i="1"/>
  <c r="H36" i="1" s="1"/>
  <c r="G25" i="1"/>
  <c r="G36" i="1" s="1"/>
  <c r="F25" i="1"/>
  <c r="F36" i="1" s="1"/>
  <c r="E25" i="1"/>
  <c r="E36" i="1" s="1"/>
  <c r="D25" i="1"/>
  <c r="D36" i="1" s="1"/>
  <c r="C25" i="1"/>
  <c r="C36" i="1" s="1"/>
  <c r="B26" i="1"/>
  <c r="B37" i="1" s="1"/>
  <c r="B27" i="1"/>
  <c r="B38" i="1" s="1"/>
  <c r="B28" i="1"/>
  <c r="B39" i="1" s="1"/>
  <c r="B31" i="1"/>
  <c r="B42" i="1" s="1"/>
  <c r="B32" i="1"/>
  <c r="B33" i="1"/>
  <c r="B44" i="1" s="1"/>
  <c r="B25" i="1"/>
  <c r="B36" i="1" s="1"/>
</calcChain>
</file>

<file path=xl/sharedStrings.xml><?xml version="1.0" encoding="utf-8"?>
<sst xmlns="http://schemas.openxmlformats.org/spreadsheetml/2006/main" count="143" uniqueCount="64">
  <si>
    <t>Region</t>
  </si>
  <si>
    <t>nodes</t>
  </si>
  <si>
    <t>VAD</t>
  </si>
  <si>
    <t>totalLength</t>
  </si>
  <si>
    <t>VLD_pct</t>
  </si>
  <si>
    <t>VLD_mminv</t>
  </si>
  <si>
    <t>MeanLength</t>
  </si>
  <si>
    <t>MedianLength</t>
  </si>
  <si>
    <t>MeanDiam</t>
  </si>
  <si>
    <t>MedianDiam</t>
  </si>
  <si>
    <t>BD</t>
  </si>
  <si>
    <t>FD</t>
  </si>
  <si>
    <t>mTort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</si>
  <si>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</si>
  <si>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</si>
  <si>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</si>
  <si>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</si>
  <si>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</si>
  <si>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</si>
  <si>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</si>
  <si>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</si>
  <si>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</si>
  <si>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</si>
  <si>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>Parafoveal rim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</si>
  <si>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</si>
  <si>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</si>
  <si>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</si>
  <si>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</si>
  <si>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</si>
  <si>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</si>
  <si>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</si>
  <si>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</si>
  <si>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</si>
  <si>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</si>
  <si>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</si>
  <si>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</si>
  <si>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</si>
  <si>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</si>
  <si>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</si>
  <si>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</si>
  <si>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</si>
  <si>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</si>
  <si>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</si>
  <si>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</si>
  <si>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</si>
  <si>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</si>
  <si>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</si>
  <si>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</si>
  <si>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</si>
  <si>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</si>
  <si>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</si>
  <si>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</si>
  <si>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</si>
  <si>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</si>
  <si>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</si>
  <si>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</si>
  <si>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</si>
  <si>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</si>
  <si>
    <t>Python</t>
  </si>
  <si>
    <t>Matlab</t>
  </si>
  <si>
    <t>Difference</t>
  </si>
  <si>
    <t>Relative Error</t>
  </si>
  <si>
    <t>Average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</si>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</sst>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  <xf numFmtId="10" fontId="0" fillId="0" borderId="0" xfId="1" applyNumberFormat="1" applyFont="1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13" workbookViewId="0">
      <selection activeCell="M46" sqref="M46"/>
    </sheetView>
  </sheetViews>
  <sheetFormatPr baseColWidth="10" defaultColWidth="8.83203125" defaultRowHeight="15" x14ac:dyDescent="0.2"/>
  <cols>
    <col min="1" max="1" width="14" bestFit="1" customWidth="1"/>
    <col min="2" max="2" width="6" bestFit="1" customWidth="1"/>
    <col min="3" max="3" width="6.1640625" bestFit="1" customWidth="1"/>
    <col min="4" max="4" width="10.1640625" bestFit="1" customWidth="1"/>
    <col min="5" max="5" width="7.6640625" bestFit="1" customWidth="1"/>
    <col min="6" max="6" width="10.5" bestFit="1" customWidth="1"/>
    <col min="7" max="7" width="11" bestFit="1" customWidth="1"/>
    <col min="8" max="8" width="12.5" bestFit="1" customWidth="1"/>
    <col min="9" max="9" width="9.6640625" bestFit="1" customWidth="1"/>
    <col min="10" max="10" width="11.1640625" bestFit="1" customWidth="1"/>
    <col min="11" max="11" width="6" bestFit="1" customWidth="1"/>
    <col min="12" max="12" width="7.6640625" bestFit="1" customWidth="1"/>
    <col min="13" max="13" width="7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t="s">
        <v>13</v>
      </c>
      <c r="B3">
        <v>111</v>
      </c>
      <c r="C3">
        <v>33.92</v>
      </c>
      <c r="D3">
        <v>33.29</v>
      </c>
      <c r="E3">
        <v>6</v>
      </c>
      <c r="F3">
        <v>12.007199999999999</v>
      </c>
      <c r="G3">
        <v>118</v>
      </c>
      <c r="H3">
        <v>86</v>
      </c>
      <c r="I3">
        <v>31</v>
      </c>
      <c r="J3">
        <v>30</v>
      </c>
      <c r="K3">
        <v>3.33</v>
      </c>
      <c r="L3">
        <v>1.4278</v>
      </c>
      <c r="M3">
        <v>1.2161999999999999</v>
      </c>
    </row>
    <row r="4" spans="1:13" x14ac:dyDescent="0.2">
      <c r="A4" t="s">
        <v>14</v>
      </c>
      <c r="B4">
        <v>160</v>
      </c>
      <c r="C4">
        <v>36.44</v>
      </c>
      <c r="D4">
        <v>37.96</v>
      </c>
      <c r="E4">
        <v>6.8500000000000014</v>
      </c>
      <c r="F4">
        <v>13.693300000000001</v>
      </c>
      <c r="G4">
        <v>106</v>
      </c>
      <c r="H4">
        <v>82</v>
      </c>
      <c r="I4">
        <v>29</v>
      </c>
      <c r="J4">
        <v>28</v>
      </c>
      <c r="K4">
        <v>4.21</v>
      </c>
      <c r="L4">
        <v>1.4536</v>
      </c>
      <c r="M4">
        <v>1.1619999999999999</v>
      </c>
    </row>
    <row r="5" spans="1:13" x14ac:dyDescent="0.2">
      <c r="A5" t="s">
        <v>15</v>
      </c>
      <c r="B5">
        <v>111</v>
      </c>
      <c r="C5">
        <v>34.159999999999997</v>
      </c>
      <c r="D5">
        <v>32.700000000000003</v>
      </c>
      <c r="E5">
        <v>5.8999999999999986</v>
      </c>
      <c r="F5">
        <v>11.7958</v>
      </c>
      <c r="G5">
        <v>119</v>
      </c>
      <c r="H5">
        <v>93</v>
      </c>
      <c r="I5">
        <v>31</v>
      </c>
      <c r="J5">
        <v>30</v>
      </c>
      <c r="K5">
        <v>3.39</v>
      </c>
      <c r="L5">
        <v>1.4244000000000001</v>
      </c>
      <c r="M5">
        <v>1.2128000000000001</v>
      </c>
    </row>
    <row r="6" spans="1:13" x14ac:dyDescent="0.2">
      <c r="A6" t="s">
        <v>16</v>
      </c>
      <c r="B6">
        <v>122</v>
      </c>
      <c r="C6">
        <v>35.32</v>
      </c>
      <c r="D6">
        <v>35.36</v>
      </c>
      <c r="E6">
        <v>6.38</v>
      </c>
      <c r="F6">
        <v>12.756399999999999</v>
      </c>
      <c r="G6">
        <v>121</v>
      </c>
      <c r="H6">
        <v>96</v>
      </c>
      <c r="I6">
        <v>29</v>
      </c>
      <c r="J6">
        <v>28</v>
      </c>
      <c r="K6">
        <v>3.45</v>
      </c>
      <c r="L6">
        <v>1.4391</v>
      </c>
      <c r="M6">
        <v>1.1935</v>
      </c>
    </row>
    <row r="7" spans="1:13" x14ac:dyDescent="0.2">
      <c r="A7" t="s">
        <v>17</v>
      </c>
      <c r="B7">
        <v>74</v>
      </c>
      <c r="C7">
        <v>25.31</v>
      </c>
      <c r="D7">
        <v>24.71</v>
      </c>
      <c r="E7">
        <v>4.46</v>
      </c>
      <c r="F7">
        <v>8.9148999999999994</v>
      </c>
      <c r="G7">
        <v>134</v>
      </c>
      <c r="H7">
        <v>94</v>
      </c>
      <c r="I7">
        <v>30</v>
      </c>
      <c r="J7">
        <v>30</v>
      </c>
      <c r="K7">
        <v>2.99</v>
      </c>
      <c r="L7">
        <v>1.3648</v>
      </c>
      <c r="M7">
        <v>1.1956</v>
      </c>
    </row>
    <row r="8" spans="1:13" x14ac:dyDescent="0.2">
      <c r="A8" t="s">
        <v>18</v>
      </c>
      <c r="B8">
        <v>169</v>
      </c>
      <c r="C8">
        <v>36.42</v>
      </c>
      <c r="D8">
        <v>37.47</v>
      </c>
      <c r="E8">
        <v>6.76</v>
      </c>
      <c r="F8">
        <v>13.5146</v>
      </c>
      <c r="G8">
        <v>105</v>
      </c>
      <c r="H8">
        <v>84</v>
      </c>
      <c r="I8">
        <v>29</v>
      </c>
      <c r="J8">
        <v>30</v>
      </c>
      <c r="K8">
        <v>4.51</v>
      </c>
      <c r="L8">
        <v>1.4494</v>
      </c>
      <c r="M8">
        <v>1.1580999999999999</v>
      </c>
    </row>
    <row r="9" spans="1:13" x14ac:dyDescent="0.2">
      <c r="A9" t="s">
        <v>19</v>
      </c>
      <c r="B9">
        <v>113</v>
      </c>
      <c r="C9">
        <v>32.44</v>
      </c>
      <c r="D9">
        <v>33.61</v>
      </c>
      <c r="E9">
        <v>6.06</v>
      </c>
      <c r="F9">
        <v>12.125500000000001</v>
      </c>
      <c r="G9">
        <v>118</v>
      </c>
      <c r="H9">
        <v>89</v>
      </c>
      <c r="I9">
        <v>28</v>
      </c>
      <c r="J9">
        <v>28</v>
      </c>
      <c r="K9">
        <v>3.36</v>
      </c>
      <c r="L9">
        <v>1.4309000000000001</v>
      </c>
      <c r="M9">
        <v>1.1999</v>
      </c>
    </row>
    <row r="10" spans="1:13" x14ac:dyDescent="0.2">
      <c r="A10" t="s">
        <v>20</v>
      </c>
      <c r="B10">
        <v>159</v>
      </c>
      <c r="C10">
        <v>36.03</v>
      </c>
      <c r="D10">
        <v>37.17</v>
      </c>
      <c r="E10">
        <v>6.7</v>
      </c>
      <c r="F10">
        <v>13.4078</v>
      </c>
      <c r="G10">
        <v>109</v>
      </c>
      <c r="H10">
        <v>87</v>
      </c>
      <c r="I10">
        <v>29</v>
      </c>
      <c r="J10">
        <v>28</v>
      </c>
      <c r="K10">
        <v>4.28</v>
      </c>
      <c r="L10">
        <v>1.4500999999999999</v>
      </c>
      <c r="M10">
        <v>1.1870000000000001</v>
      </c>
    </row>
    <row r="11" spans="1:13" x14ac:dyDescent="0.2">
      <c r="A11" t="s">
        <v>21</v>
      </c>
      <c r="B11">
        <v>128</v>
      </c>
      <c r="C11">
        <v>34.03</v>
      </c>
      <c r="D11">
        <v>35.1</v>
      </c>
      <c r="E11">
        <v>6.3299999999999992</v>
      </c>
      <c r="F11">
        <v>12.6624</v>
      </c>
      <c r="G11">
        <v>112</v>
      </c>
      <c r="H11">
        <v>86</v>
      </c>
      <c r="I11">
        <v>29</v>
      </c>
      <c r="J11">
        <v>28</v>
      </c>
      <c r="K11">
        <v>3.65</v>
      </c>
      <c r="L11">
        <v>1.4392</v>
      </c>
      <c r="M11">
        <v>1.1649</v>
      </c>
    </row>
    <row r="13" spans="1:13" x14ac:dyDescent="0.2">
      <c r="A13" s="4" t="s">
        <v>59</v>
      </c>
    </row>
    <row r="14" spans="1:13" x14ac:dyDescent="0.2">
      <c r="A14" t="s">
        <v>13</v>
      </c>
      <c r="B14">
        <v>113</v>
      </c>
      <c r="C14">
        <v>33.92</v>
      </c>
      <c r="D14">
        <v>32.159999999999997</v>
      </c>
      <c r="E14">
        <v>5.8000000000000007</v>
      </c>
      <c r="F14">
        <v>11.6008</v>
      </c>
      <c r="G14">
        <v>113</v>
      </c>
      <c r="H14">
        <v>86</v>
      </c>
      <c r="I14">
        <v>29</v>
      </c>
      <c r="J14">
        <v>27</v>
      </c>
      <c r="K14">
        <v>3.51</v>
      </c>
      <c r="L14">
        <v>1.4274</v>
      </c>
      <c r="M14">
        <v>1.1726000000000001</v>
      </c>
    </row>
    <row r="15" spans="1:13" x14ac:dyDescent="0.2">
      <c r="A15" t="s">
        <v>14</v>
      </c>
      <c r="B15">
        <v>160</v>
      </c>
      <c r="C15">
        <v>36.44</v>
      </c>
      <c r="D15">
        <v>36.72</v>
      </c>
      <c r="E15">
        <v>6.6199999999999992</v>
      </c>
      <c r="F15">
        <v>13.245699999999999</v>
      </c>
      <c r="G15">
        <v>105</v>
      </c>
      <c r="H15">
        <v>78</v>
      </c>
      <c r="I15">
        <v>27</v>
      </c>
      <c r="J15">
        <v>26</v>
      </c>
      <c r="K15">
        <v>4.3600000000000003</v>
      </c>
      <c r="L15">
        <v>1.4523999999999999</v>
      </c>
      <c r="M15">
        <v>1.1422000000000001</v>
      </c>
    </row>
    <row r="16" spans="1:13" x14ac:dyDescent="0.2">
      <c r="A16" t="s">
        <v>15</v>
      </c>
      <c r="B16">
        <v>109</v>
      </c>
      <c r="C16">
        <v>34.160000000000004</v>
      </c>
      <c r="D16">
        <v>31.94</v>
      </c>
      <c r="E16">
        <v>5.76</v>
      </c>
      <c r="F16">
        <v>11.5214</v>
      </c>
      <c r="G16">
        <v>116</v>
      </c>
      <c r="H16">
        <v>88</v>
      </c>
      <c r="I16">
        <v>28</v>
      </c>
      <c r="J16">
        <v>27</v>
      </c>
      <c r="K16">
        <v>3.41</v>
      </c>
      <c r="L16">
        <v>1.4288000000000001</v>
      </c>
      <c r="M16">
        <v>1.1981999999999999</v>
      </c>
    </row>
    <row r="17" spans="1:13" x14ac:dyDescent="0.2">
      <c r="A17" t="s">
        <v>16</v>
      </c>
      <c r="B17">
        <v>121</v>
      </c>
      <c r="C17">
        <v>35.32</v>
      </c>
      <c r="D17">
        <v>35.14</v>
      </c>
      <c r="E17">
        <v>6.34</v>
      </c>
      <c r="F17">
        <v>12.675700000000001</v>
      </c>
      <c r="G17">
        <v>120</v>
      </c>
      <c r="H17">
        <v>94</v>
      </c>
      <c r="I17">
        <v>27</v>
      </c>
      <c r="J17">
        <v>26</v>
      </c>
      <c r="K17">
        <v>3.44</v>
      </c>
      <c r="L17">
        <v>1.4442999999999999</v>
      </c>
      <c r="M17">
        <v>1.1724000000000001</v>
      </c>
    </row>
    <row r="18" spans="1:13" x14ac:dyDescent="0.2">
      <c r="A18" t="s">
        <v>17</v>
      </c>
      <c r="B18">
        <v>76</v>
      </c>
      <c r="C18">
        <v>25.31</v>
      </c>
      <c r="D18">
        <v>24.34</v>
      </c>
      <c r="E18">
        <v>4.3900000000000006</v>
      </c>
      <c r="F18">
        <v>8.7799999999999994</v>
      </c>
      <c r="G18">
        <v>129</v>
      </c>
      <c r="H18">
        <v>89</v>
      </c>
      <c r="I18">
        <v>27</v>
      </c>
      <c r="J18">
        <v>28</v>
      </c>
      <c r="K18">
        <v>3.12</v>
      </c>
      <c r="L18">
        <v>1.3667</v>
      </c>
      <c r="M18">
        <v>1.1606000000000001</v>
      </c>
    </row>
    <row r="19" spans="1:13" x14ac:dyDescent="0.2">
      <c r="A19" t="s">
        <v>18</v>
      </c>
      <c r="B19">
        <v>171</v>
      </c>
      <c r="C19">
        <v>36.42</v>
      </c>
      <c r="D19">
        <v>37</v>
      </c>
      <c r="E19">
        <v>6.67</v>
      </c>
      <c r="F19">
        <v>13.3467</v>
      </c>
      <c r="G19">
        <v>101</v>
      </c>
      <c r="H19">
        <v>84</v>
      </c>
      <c r="I19">
        <v>27</v>
      </c>
      <c r="J19">
        <v>27</v>
      </c>
      <c r="K19">
        <v>4.62</v>
      </c>
      <c r="L19">
        <v>1.4556</v>
      </c>
      <c r="M19">
        <v>1.1295999999999999</v>
      </c>
    </row>
    <row r="20" spans="1:13" x14ac:dyDescent="0.2">
      <c r="A20" t="s">
        <v>19</v>
      </c>
      <c r="B20">
        <v>116</v>
      </c>
      <c r="C20">
        <v>32.440000000000005</v>
      </c>
      <c r="D20">
        <v>33.24</v>
      </c>
      <c r="E20">
        <v>6</v>
      </c>
      <c r="F20">
        <v>11.990399999999999</v>
      </c>
      <c r="G20">
        <v>113</v>
      </c>
      <c r="H20">
        <v>87</v>
      </c>
      <c r="I20">
        <v>26</v>
      </c>
      <c r="J20">
        <v>25</v>
      </c>
      <c r="K20">
        <v>3.49</v>
      </c>
      <c r="L20">
        <v>1.4363999999999999</v>
      </c>
      <c r="M20">
        <v>1.1889000000000001</v>
      </c>
    </row>
    <row r="21" spans="1:13" x14ac:dyDescent="0.2">
      <c r="A21" t="s">
        <v>20</v>
      </c>
      <c r="B21">
        <v>155</v>
      </c>
      <c r="C21">
        <v>36.03</v>
      </c>
      <c r="D21">
        <v>35.979999999999997</v>
      </c>
      <c r="E21">
        <v>6.49</v>
      </c>
      <c r="F21">
        <v>12.9787</v>
      </c>
      <c r="G21">
        <v>108</v>
      </c>
      <c r="H21">
        <v>89</v>
      </c>
      <c r="I21">
        <v>28</v>
      </c>
      <c r="J21">
        <v>26</v>
      </c>
      <c r="K21">
        <v>4.3099999999999996</v>
      </c>
      <c r="L21">
        <v>1.4493</v>
      </c>
      <c r="M21">
        <v>1.1560999999999999</v>
      </c>
    </row>
    <row r="22" spans="1:13" x14ac:dyDescent="0.2">
      <c r="A22" t="s">
        <v>21</v>
      </c>
      <c r="B22">
        <v>130</v>
      </c>
      <c r="C22">
        <v>34.03</v>
      </c>
      <c r="D22">
        <v>36.44</v>
      </c>
      <c r="E22">
        <v>6.5699999999999994</v>
      </c>
      <c r="F22">
        <v>13.1447</v>
      </c>
      <c r="G22">
        <v>114</v>
      </c>
      <c r="H22">
        <v>87</v>
      </c>
      <c r="I22">
        <v>27</v>
      </c>
      <c r="J22">
        <v>26</v>
      </c>
      <c r="K22">
        <v>3.57</v>
      </c>
      <c r="L22">
        <v>1.4428000000000001</v>
      </c>
      <c r="M22">
        <v>1.1531</v>
      </c>
    </row>
    <row r="24" spans="1:13" x14ac:dyDescent="0.2">
      <c r="A24" s="4" t="s">
        <v>60</v>
      </c>
    </row>
    <row r="25" spans="1:13" x14ac:dyDescent="0.2">
      <c r="A25" t="s">
        <v>13</v>
      </c>
      <c r="B25">
        <f>B3-B14</f>
        <v>-2</v>
      </c>
      <c r="C25">
        <f t="shared" ref="C25:L25" si="0">C3-C14</f>
        <v>0</v>
      </c>
      <c r="D25">
        <f t="shared" si="0"/>
        <v>1.1300000000000026</v>
      </c>
      <c r="E25">
        <f t="shared" si="0"/>
        <v>0.19999999999999929</v>
      </c>
      <c r="F25">
        <f t="shared" si="0"/>
        <v>0.40639999999999965</v>
      </c>
      <c r="G25">
        <f t="shared" si="0"/>
        <v>5</v>
      </c>
      <c r="H25">
        <f t="shared" si="0"/>
        <v>0</v>
      </c>
      <c r="I25">
        <f t="shared" si="0"/>
        <v>2</v>
      </c>
      <c r="J25">
        <f t="shared" si="0"/>
        <v>3</v>
      </c>
      <c r="K25">
        <f t="shared" si="0"/>
        <v>-0.17999999999999972</v>
      </c>
      <c r="L25">
        <f t="shared" si="0"/>
        <v>3.9999999999995595E-4</v>
      </c>
      <c r="M25">
        <f>M3-M14</f>
        <v>4.3599999999999861E-2</v>
      </c>
    </row>
    <row r="26" spans="1:13" x14ac:dyDescent="0.2">
      <c r="A26" t="s">
        <v>14</v>
      </c>
      <c r="B26">
        <f t="shared" ref="B26:M33" si="1">B4-B15</f>
        <v>0</v>
      </c>
      <c r="C26">
        <f t="shared" si="1"/>
        <v>0</v>
      </c>
      <c r="D26">
        <f t="shared" si="1"/>
        <v>1.240000000000002</v>
      </c>
      <c r="E26">
        <f t="shared" si="1"/>
        <v>0.2300000000000022</v>
      </c>
      <c r="F26">
        <f t="shared" si="1"/>
        <v>0.44760000000000133</v>
      </c>
      <c r="G26">
        <f t="shared" si="1"/>
        <v>1</v>
      </c>
      <c r="H26">
        <f t="shared" si="1"/>
        <v>4</v>
      </c>
      <c r="I26">
        <f t="shared" si="1"/>
        <v>2</v>
      </c>
      <c r="J26">
        <f t="shared" si="1"/>
        <v>2</v>
      </c>
      <c r="K26">
        <f t="shared" si="1"/>
        <v>-0.15000000000000036</v>
      </c>
      <c r="L26">
        <f t="shared" si="1"/>
        <v>1.2000000000000899E-3</v>
      </c>
      <c r="M26">
        <f t="shared" si="1"/>
        <v>1.9799999999999818E-2</v>
      </c>
    </row>
    <row r="27" spans="1:13" x14ac:dyDescent="0.2">
      <c r="A27" t="s">
        <v>15</v>
      </c>
      <c r="B27">
        <f t="shared" si="1"/>
        <v>2</v>
      </c>
      <c r="C27">
        <f t="shared" si="1"/>
        <v>0</v>
      </c>
      <c r="D27">
        <f t="shared" si="1"/>
        <v>0.76000000000000156</v>
      </c>
      <c r="E27">
        <f t="shared" si="1"/>
        <v>0.13999999999999879</v>
      </c>
      <c r="F27">
        <f t="shared" si="1"/>
        <v>0.27439999999999998</v>
      </c>
      <c r="G27">
        <f t="shared" si="1"/>
        <v>3</v>
      </c>
      <c r="H27">
        <f>H5-H16</f>
        <v>5</v>
      </c>
      <c r="I27">
        <f t="shared" si="1"/>
        <v>3</v>
      </c>
      <c r="J27">
        <f t="shared" si="1"/>
        <v>3</v>
      </c>
      <c r="K27">
        <f t="shared" si="1"/>
        <v>-2.0000000000000018E-2</v>
      </c>
      <c r="L27">
        <f t="shared" si="1"/>
        <v>-4.3999999999999595E-3</v>
      </c>
      <c r="M27">
        <f t="shared" si="1"/>
        <v>1.4600000000000168E-2</v>
      </c>
    </row>
    <row r="28" spans="1:13" x14ac:dyDescent="0.2">
      <c r="A28" t="s">
        <v>16</v>
      </c>
      <c r="B28">
        <f t="shared" si="1"/>
        <v>1</v>
      </c>
      <c r="C28">
        <f t="shared" si="1"/>
        <v>0</v>
      </c>
      <c r="D28">
        <f>D6-D17</f>
        <v>0.21999999999999886</v>
      </c>
      <c r="E28">
        <f t="shared" si="1"/>
        <v>4.0000000000000036E-2</v>
      </c>
      <c r="F28">
        <f t="shared" si="1"/>
        <v>8.069999999999844E-2</v>
      </c>
      <c r="G28">
        <f>G6-G17</f>
        <v>1</v>
      </c>
      <c r="H28">
        <f t="shared" si="1"/>
        <v>2</v>
      </c>
      <c r="I28">
        <f t="shared" si="1"/>
        <v>2</v>
      </c>
      <c r="J28">
        <f t="shared" si="1"/>
        <v>2</v>
      </c>
      <c r="K28">
        <f t="shared" si="1"/>
        <v>1.0000000000000231E-2</v>
      </c>
      <c r="L28">
        <f t="shared" si="1"/>
        <v>-5.1999999999998714E-3</v>
      </c>
      <c r="M28">
        <f t="shared" si="1"/>
        <v>2.1099999999999897E-2</v>
      </c>
    </row>
    <row r="29" spans="1:13" x14ac:dyDescent="0.2">
      <c r="A29" t="s">
        <v>17</v>
      </c>
      <c r="B29">
        <f>B7-B18</f>
        <v>-2</v>
      </c>
      <c r="C29">
        <f t="shared" si="1"/>
        <v>0</v>
      </c>
      <c r="D29">
        <f t="shared" si="1"/>
        <v>0.37000000000000099</v>
      </c>
      <c r="E29">
        <f>E7-E18</f>
        <v>6.9999999999999396E-2</v>
      </c>
      <c r="F29">
        <f t="shared" si="1"/>
        <v>0.13490000000000002</v>
      </c>
      <c r="G29">
        <f t="shared" si="1"/>
        <v>5</v>
      </c>
      <c r="H29">
        <f t="shared" si="1"/>
        <v>5</v>
      </c>
      <c r="I29">
        <f>I7-I18</f>
        <v>3</v>
      </c>
      <c r="J29">
        <f t="shared" si="1"/>
        <v>2</v>
      </c>
      <c r="K29">
        <f t="shared" si="1"/>
        <v>-0.12999999999999989</v>
      </c>
      <c r="L29">
        <f t="shared" si="1"/>
        <v>-1.9000000000000128E-3</v>
      </c>
      <c r="M29">
        <f t="shared" si="1"/>
        <v>3.499999999999992E-2</v>
      </c>
    </row>
    <row r="30" spans="1:13" x14ac:dyDescent="0.2">
      <c r="A30" t="s">
        <v>18</v>
      </c>
      <c r="B30">
        <f>B8-B19</f>
        <v>-2</v>
      </c>
      <c r="C30">
        <f t="shared" si="1"/>
        <v>0</v>
      </c>
      <c r="D30">
        <f t="shared" si="1"/>
        <v>0.46999999999999886</v>
      </c>
      <c r="E30">
        <f t="shared" si="1"/>
        <v>8.9999999999999858E-2</v>
      </c>
      <c r="F30">
        <f>F8-F19</f>
        <v>0.16789999999999949</v>
      </c>
      <c r="G30">
        <f t="shared" si="1"/>
        <v>4</v>
      </c>
      <c r="H30">
        <f t="shared" si="1"/>
        <v>0</v>
      </c>
      <c r="I30">
        <f t="shared" si="1"/>
        <v>2</v>
      </c>
      <c r="J30">
        <f t="shared" si="1"/>
        <v>3</v>
      </c>
      <c r="K30">
        <f t="shared" si="1"/>
        <v>-0.11000000000000032</v>
      </c>
      <c r="L30">
        <f t="shared" si="1"/>
        <v>-6.1999999999999833E-3</v>
      </c>
      <c r="M30">
        <f t="shared" si="1"/>
        <v>2.849999999999997E-2</v>
      </c>
    </row>
    <row r="31" spans="1:13" x14ac:dyDescent="0.2">
      <c r="A31" t="s">
        <v>19</v>
      </c>
      <c r="B31">
        <f t="shared" si="1"/>
        <v>-3</v>
      </c>
      <c r="C31">
        <f t="shared" si="1"/>
        <v>0</v>
      </c>
      <c r="D31">
        <f t="shared" si="1"/>
        <v>0.36999999999999744</v>
      </c>
      <c r="E31">
        <f t="shared" si="1"/>
        <v>5.9999999999999609E-2</v>
      </c>
      <c r="F31">
        <f t="shared" si="1"/>
        <v>0.13510000000000133</v>
      </c>
      <c r="G31">
        <f t="shared" si="1"/>
        <v>5</v>
      </c>
      <c r="H31">
        <f t="shared" si="1"/>
        <v>2</v>
      </c>
      <c r="I31">
        <f t="shared" si="1"/>
        <v>2</v>
      </c>
      <c r="J31">
        <f t="shared" si="1"/>
        <v>3</v>
      </c>
      <c r="K31">
        <f t="shared" si="1"/>
        <v>-0.13000000000000034</v>
      </c>
      <c r="L31">
        <f t="shared" si="1"/>
        <v>-5.4999999999998384E-3</v>
      </c>
      <c r="M31">
        <f t="shared" si="1"/>
        <v>1.0999999999999899E-2</v>
      </c>
    </row>
    <row r="32" spans="1:13" x14ac:dyDescent="0.2">
      <c r="A32" t="s">
        <v>20</v>
      </c>
      <c r="B32">
        <f t="shared" si="1"/>
        <v>4</v>
      </c>
      <c r="C32">
        <f t="shared" si="1"/>
        <v>0</v>
      </c>
      <c r="D32">
        <f t="shared" si="1"/>
        <v>1.1900000000000048</v>
      </c>
      <c r="E32">
        <f t="shared" si="1"/>
        <v>0.20999999999999996</v>
      </c>
      <c r="F32">
        <f t="shared" si="1"/>
        <v>0.42910000000000004</v>
      </c>
      <c r="G32">
        <f t="shared" si="1"/>
        <v>1</v>
      </c>
      <c r="H32">
        <f t="shared" si="1"/>
        <v>-2</v>
      </c>
      <c r="I32">
        <f t="shared" si="1"/>
        <v>1</v>
      </c>
      <c r="J32">
        <f t="shared" si="1"/>
        <v>2</v>
      </c>
      <c r="K32">
        <f t="shared" si="1"/>
        <v>-2.9999999999999361E-2</v>
      </c>
      <c r="L32">
        <f t="shared" si="1"/>
        <v>7.9999999999991189E-4</v>
      </c>
      <c r="M32">
        <f t="shared" si="1"/>
        <v>3.090000000000015E-2</v>
      </c>
    </row>
    <row r="33" spans="1:13" x14ac:dyDescent="0.2">
      <c r="A33" t="s">
        <v>21</v>
      </c>
      <c r="B33">
        <f t="shared" si="1"/>
        <v>-2</v>
      </c>
      <c r="C33">
        <f t="shared" si="1"/>
        <v>0</v>
      </c>
      <c r="D33">
        <f t="shared" si="1"/>
        <v>-1.3399999999999963</v>
      </c>
      <c r="E33">
        <f t="shared" si="1"/>
        <v>-0.24000000000000021</v>
      </c>
      <c r="F33">
        <f t="shared" si="1"/>
        <v>-0.4823000000000004</v>
      </c>
      <c r="G33">
        <f t="shared" si="1"/>
        <v>-2</v>
      </c>
      <c r="H33">
        <f t="shared" si="1"/>
        <v>-1</v>
      </c>
      <c r="I33">
        <f t="shared" si="1"/>
        <v>2</v>
      </c>
      <c r="J33">
        <f t="shared" si="1"/>
        <v>2</v>
      </c>
      <c r="K33">
        <f t="shared" si="1"/>
        <v>8.0000000000000071E-2</v>
      </c>
      <c r="L33">
        <f t="shared" si="1"/>
        <v>-3.6000000000000476E-3</v>
      </c>
      <c r="M33">
        <f t="shared" si="1"/>
        <v>1.1800000000000033E-2</v>
      </c>
    </row>
    <row r="35" spans="1:13" x14ac:dyDescent="0.2">
      <c r="A35" s="3" t="s">
        <v>61</v>
      </c>
    </row>
    <row r="36" spans="1:13" x14ac:dyDescent="0.2">
      <c r="A36" t="s">
        <v>13</v>
      </c>
      <c r="B36" s="5">
        <f>ABS(B25)/B14</f>
        <v>1.7699115044247787E-2</v>
      </c>
      <c r="C36" s="5">
        <f>ABS(C25)/C14</f>
        <v>0</v>
      </c>
      <c r="D36" s="5">
        <f>ABS(D25)/D14</f>
        <v>3.5136815920398093E-2</v>
      </c>
      <c r="E36" s="5">
        <f>ABS(E25)/E14</f>
        <v>3.448275862068953E-2</v>
      </c>
      <c r="F36" s="5">
        <f>ABS(F25)/F14</f>
        <v>3.5032066754016933E-2</v>
      </c>
      <c r="G36" s="5">
        <f>ABS(G25)/G14</f>
        <v>4.4247787610619468E-2</v>
      </c>
      <c r="H36" s="5">
        <f>ABS(H25)/H14</f>
        <v>0</v>
      </c>
      <c r="I36" s="5">
        <f>ABS(I25)/I14</f>
        <v>6.8965517241379309E-2</v>
      </c>
      <c r="J36" s="5">
        <f>ABS(J25)/J14</f>
        <v>0.1111111111111111</v>
      </c>
      <c r="K36" s="5">
        <f>ABS(K25)/K14</f>
        <v>5.1282051282051204E-2</v>
      </c>
      <c r="L36" s="5">
        <f>ABS(L25)/L14</f>
        <v>2.8022978842647889E-4</v>
      </c>
      <c r="M36" s="5">
        <f>ABS(M25)/M14</f>
        <v>3.7182329865256575E-2</v>
      </c>
    </row>
    <row r="37" spans="1:13" x14ac:dyDescent="0.2">
      <c r="A37" t="s">
        <v>14</v>
      </c>
      <c r="B37" s="5">
        <f>ABS(B26)/B15</f>
        <v>0</v>
      </c>
      <c r="C37" s="5">
        <f>ABS(C26)/C15</f>
        <v>0</v>
      </c>
      <c r="D37" s="5">
        <f>ABS(D26)/D15</f>
        <v>3.3769063180827945E-2</v>
      </c>
      <c r="E37" s="5">
        <f>ABS(E26)/E15</f>
        <v>3.4743202416918764E-2</v>
      </c>
      <c r="F37" s="5">
        <f>ABS(F26)/F15</f>
        <v>3.3792098567837214E-2</v>
      </c>
      <c r="G37" s="5">
        <f>ABS(G26)/G15</f>
        <v>9.5238095238095247E-3</v>
      </c>
      <c r="H37" s="5">
        <f>ABS(H26)/H15</f>
        <v>5.128205128205128E-2</v>
      </c>
      <c r="I37" s="5">
        <f>ABS(I26)/I15</f>
        <v>7.407407407407407E-2</v>
      </c>
      <c r="J37" s="5">
        <f>ABS(J26)/J15</f>
        <v>7.6923076923076927E-2</v>
      </c>
      <c r="K37" s="5">
        <f>ABS(K26)/K15</f>
        <v>3.440366972477072E-2</v>
      </c>
      <c r="L37" s="5">
        <f>ABS(L26)/L15</f>
        <v>8.2621867254206141E-4</v>
      </c>
      <c r="M37" s="5">
        <f>ABS(M26)/M15</f>
        <v>1.7334967606373503E-2</v>
      </c>
    </row>
    <row r="38" spans="1:13" x14ac:dyDescent="0.2">
      <c r="A38" t="s">
        <v>15</v>
      </c>
      <c r="B38" s="5">
        <f>ABS(B27)/B16</f>
        <v>1.834862385321101E-2</v>
      </c>
      <c r="C38" s="5">
        <f>ABS(C27)/C16</f>
        <v>0</v>
      </c>
      <c r="D38" s="5">
        <f>ABS(D27)/D16</f>
        <v>2.3794614902943066E-2</v>
      </c>
      <c r="E38" s="5">
        <f>ABS(E27)/E16</f>
        <v>2.4305555555555348E-2</v>
      </c>
      <c r="F38" s="5">
        <f>ABS(F27)/F16</f>
        <v>2.3816550072039856E-2</v>
      </c>
      <c r="G38" s="5">
        <f>ABS(G27)/G16</f>
        <v>2.5862068965517241E-2</v>
      </c>
      <c r="H38" s="5">
        <f>ABS(H27)/H16</f>
        <v>5.6818181818181816E-2</v>
      </c>
      <c r="I38" s="5">
        <f>ABS(I27)/I16</f>
        <v>0.10714285714285714</v>
      </c>
      <c r="J38" s="5">
        <f>ABS(J27)/J16</f>
        <v>0.1111111111111111</v>
      </c>
      <c r="K38" s="5">
        <f>ABS(K27)/K16</f>
        <v>5.8651026392961929E-3</v>
      </c>
      <c r="L38" s="5">
        <f>ABS(L27)/L16</f>
        <v>3.079507278835358E-3</v>
      </c>
      <c r="M38" s="5">
        <f>ABS(M27)/M16</f>
        <v>1.2184944082790994E-2</v>
      </c>
    </row>
    <row r="39" spans="1:13" x14ac:dyDescent="0.2">
      <c r="A39" t="s">
        <v>16</v>
      </c>
      <c r="B39" s="5">
        <f>ABS(B28)/B17</f>
        <v>8.2644628099173556E-3</v>
      </c>
      <c r="C39" s="5">
        <f>ABS(C28)/C17</f>
        <v>0</v>
      </c>
      <c r="D39" s="5">
        <f>ABS(D28)/D17</f>
        <v>6.2606715993169856E-3</v>
      </c>
      <c r="E39" s="5">
        <f>ABS(E28)/E17</f>
        <v>6.309148264984233E-3</v>
      </c>
      <c r="F39" s="5">
        <f>ABS(F28)/F17</f>
        <v>6.3665123030679513E-3</v>
      </c>
      <c r="G39" s="5">
        <f>ABS(G28)/G17</f>
        <v>8.3333333333333332E-3</v>
      </c>
      <c r="H39" s="5">
        <f>ABS(H28)/H17</f>
        <v>2.1276595744680851E-2</v>
      </c>
      <c r="I39" s="5">
        <f>ABS(I28)/I17</f>
        <v>7.407407407407407E-2</v>
      </c>
      <c r="J39" s="5">
        <f>ABS(J28)/J17</f>
        <v>7.6923076923076927E-2</v>
      </c>
      <c r="K39" s="5">
        <f>ABS(K28)/K17</f>
        <v>2.9069767441861137E-3</v>
      </c>
      <c r="L39" s="5">
        <f>ABS(L28)/L17</f>
        <v>3.6003600360035117E-3</v>
      </c>
      <c r="M39" s="5">
        <f>ABS(M28)/M17</f>
        <v>1.7997270556124101E-2</v>
      </c>
    </row>
    <row r="40" spans="1:13" x14ac:dyDescent="0.2">
      <c r="A40" t="s">
        <v>17</v>
      </c>
      <c r="B40" s="5">
        <f>ABS(B29)/B18</f>
        <v>2.6315789473684209E-2</v>
      </c>
      <c r="C40" s="5">
        <f t="shared" ref="C40:M40" si="2">ABS(C29)/C18</f>
        <v>0</v>
      </c>
      <c r="D40" s="5">
        <f t="shared" si="2"/>
        <v>1.5201314708299137E-2</v>
      </c>
      <c r="E40" s="5">
        <f t="shared" si="2"/>
        <v>1.5945330296127422E-2</v>
      </c>
      <c r="F40" s="5">
        <f t="shared" si="2"/>
        <v>1.536446469248292E-2</v>
      </c>
      <c r="G40" s="5">
        <f t="shared" si="2"/>
        <v>3.875968992248062E-2</v>
      </c>
      <c r="H40" s="5">
        <f t="shared" si="2"/>
        <v>5.6179775280898875E-2</v>
      </c>
      <c r="I40" s="5">
        <f t="shared" si="2"/>
        <v>0.1111111111111111</v>
      </c>
      <c r="J40" s="5">
        <f t="shared" si="2"/>
        <v>7.1428571428571425E-2</v>
      </c>
      <c r="K40" s="5">
        <f t="shared" si="2"/>
        <v>4.166666666666663E-2</v>
      </c>
      <c r="L40" s="5">
        <f t="shared" si="2"/>
        <v>1.390209994878183E-3</v>
      </c>
      <c r="M40" s="5">
        <f t="shared" si="2"/>
        <v>3.0156815440289433E-2</v>
      </c>
    </row>
    <row r="41" spans="1:13" x14ac:dyDescent="0.2">
      <c r="A41" t="s">
        <v>18</v>
      </c>
      <c r="B41" s="5">
        <f>ABS(B30)/B19</f>
        <v>1.1695906432748537E-2</v>
      </c>
      <c r="C41" s="5">
        <f t="shared" ref="C41:M41" si="3">ABS(C30)/C19</f>
        <v>0</v>
      </c>
      <c r="D41" s="5">
        <f t="shared" si="3"/>
        <v>1.2702702702702672E-2</v>
      </c>
      <c r="E41" s="5">
        <f t="shared" si="3"/>
        <v>1.3493253373313321E-2</v>
      </c>
      <c r="F41" s="5">
        <f t="shared" si="3"/>
        <v>1.2579888661616691E-2</v>
      </c>
      <c r="G41" s="5">
        <f t="shared" si="3"/>
        <v>3.9603960396039604E-2</v>
      </c>
      <c r="H41" s="5">
        <f t="shared" si="3"/>
        <v>0</v>
      </c>
      <c r="I41" s="5">
        <f t="shared" si="3"/>
        <v>7.407407407407407E-2</v>
      </c>
      <c r="J41" s="5">
        <f t="shared" si="3"/>
        <v>0.1111111111111111</v>
      </c>
      <c r="K41" s="5">
        <f t="shared" si="3"/>
        <v>2.3809523809523878E-2</v>
      </c>
      <c r="L41" s="5">
        <f t="shared" si="3"/>
        <v>4.2594119263533823E-3</v>
      </c>
      <c r="M41" s="5">
        <f t="shared" si="3"/>
        <v>2.5230169971671362E-2</v>
      </c>
    </row>
    <row r="42" spans="1:13" x14ac:dyDescent="0.2">
      <c r="A42" t="s">
        <v>19</v>
      </c>
      <c r="B42" s="5">
        <f>ABS(B31)/B20</f>
        <v>2.5862068965517241E-2</v>
      </c>
      <c r="C42" s="5">
        <f t="shared" ref="C42:M42" si="4">ABS(C31)/C20</f>
        <v>0</v>
      </c>
      <c r="D42" s="5">
        <f t="shared" si="4"/>
        <v>1.1131167268351306E-2</v>
      </c>
      <c r="E42" s="5">
        <f t="shared" si="4"/>
        <v>9.9999999999999343E-3</v>
      </c>
      <c r="F42" s="5">
        <f t="shared" si="4"/>
        <v>1.1267347211102327E-2</v>
      </c>
      <c r="G42" s="5">
        <f t="shared" si="4"/>
        <v>4.4247787610619468E-2</v>
      </c>
      <c r="H42" s="5">
        <f t="shared" si="4"/>
        <v>2.2988505747126436E-2</v>
      </c>
      <c r="I42" s="5">
        <f t="shared" si="4"/>
        <v>7.6923076923076927E-2</v>
      </c>
      <c r="J42" s="5">
        <f t="shared" si="4"/>
        <v>0.12</v>
      </c>
      <c r="K42" s="5">
        <f t="shared" si="4"/>
        <v>3.7249283667621869E-2</v>
      </c>
      <c r="L42" s="5">
        <f t="shared" si="4"/>
        <v>3.8290169869116117E-3</v>
      </c>
      <c r="M42" s="5">
        <f t="shared" si="4"/>
        <v>9.2522499789720741E-3</v>
      </c>
    </row>
    <row r="43" spans="1:13" x14ac:dyDescent="0.2">
      <c r="A43" t="s">
        <v>20</v>
      </c>
      <c r="B43" s="5">
        <f>ABS(B32)/B21</f>
        <v>2.5806451612903226E-2</v>
      </c>
      <c r="C43" s="5">
        <f>ABS(C32)/C21</f>
        <v>0</v>
      </c>
      <c r="D43" s="5">
        <f>ABS(D32)/D21</f>
        <v>3.3073929961089633E-2</v>
      </c>
      <c r="E43" s="5">
        <f>ABS(E32)/E21</f>
        <v>3.2357473035439129E-2</v>
      </c>
      <c r="F43" s="5">
        <f>ABS(F32)/F21</f>
        <v>3.3061862898441298E-2</v>
      </c>
      <c r="G43" s="5">
        <f>ABS(G32)/G21</f>
        <v>9.2592592592592587E-3</v>
      </c>
      <c r="H43" s="5">
        <f>ABS(H32)/H21</f>
        <v>2.247191011235955E-2</v>
      </c>
      <c r="I43" s="5">
        <f>ABS(I32)/I21</f>
        <v>3.5714285714285712E-2</v>
      </c>
      <c r="J43" s="5">
        <f>ABS(J32)/J21</f>
        <v>7.6923076923076927E-2</v>
      </c>
      <c r="K43" s="5">
        <f>ABS(K32)/K21</f>
        <v>6.9605568445474161E-3</v>
      </c>
      <c r="L43" s="5">
        <f>ABS(L32)/L21</f>
        <v>5.5199061615946452E-4</v>
      </c>
      <c r="M43" s="5">
        <f>ABS(M32)/M21</f>
        <v>2.6727791713519723E-2</v>
      </c>
    </row>
    <row r="44" spans="1:13" x14ac:dyDescent="0.2">
      <c r="A44" t="s">
        <v>21</v>
      </c>
      <c r="B44" s="5">
        <f>ABS(B33)/B22</f>
        <v>1.5384615384615385E-2</v>
      </c>
      <c r="C44" s="5">
        <f>ABS(C33)/C22</f>
        <v>0</v>
      </c>
      <c r="D44" s="5">
        <f>ABS(D33)/D22</f>
        <v>3.6772777167947211E-2</v>
      </c>
      <c r="E44" s="5">
        <f>ABS(E33)/E22</f>
        <v>3.6529680365296836E-2</v>
      </c>
      <c r="F44" s="5">
        <f>ABS(F33)/F22</f>
        <v>3.6691594330794948E-2</v>
      </c>
      <c r="G44" s="5">
        <f>ABS(G33)/G22</f>
        <v>1.7543859649122806E-2</v>
      </c>
      <c r="H44" s="5">
        <f>ABS(H33)/H22</f>
        <v>1.1494252873563218E-2</v>
      </c>
      <c r="I44" s="5">
        <f>ABS(I33)/I22</f>
        <v>7.407407407407407E-2</v>
      </c>
      <c r="J44" s="5">
        <f>ABS(J33)/J22</f>
        <v>7.6923076923076927E-2</v>
      </c>
      <c r="K44" s="5">
        <f>ABS(K33)/K22</f>
        <v>2.2408963585434195E-2</v>
      </c>
      <c r="L44" s="5">
        <f>ABS(L33)/L22</f>
        <v>2.4951483227058824E-3</v>
      </c>
      <c r="M44" s="5">
        <f>ABS(M33)/M22</f>
        <v>1.0233284190443181E-2</v>
      </c>
    </row>
    <row r="45" spans="1:13" x14ac:dyDescent="0.2">
      <c r="A45" s="6" t="s">
        <v>62</v>
      </c>
      <c r="B45" s="7">
        <f>AVERAGE(B36:B44)</f>
        <v>1.6597448175204973E-2</v>
      </c>
      <c r="C45" s="7">
        <f t="shared" ref="C45:M45" si="5">AVERAGE(C36:C44)</f>
        <v>0</v>
      </c>
      <c r="D45" s="7">
        <f>AVERAGE(D36:D44)</f>
        <v>2.3093673045764006E-2</v>
      </c>
      <c r="E45" s="7">
        <f>AVERAGE(E36:E44)</f>
        <v>2.3129600214258274E-2</v>
      </c>
      <c r="F45" s="7">
        <f>AVERAGE(F36:F44)</f>
        <v>2.3108042832377787E-2</v>
      </c>
      <c r="G45" s="7">
        <f>AVERAGE(G36:G44)</f>
        <v>2.637572847453348E-2</v>
      </c>
      <c r="H45" s="7">
        <f>AVERAGE(H36:H44)</f>
        <v>2.6945696984318004E-2</v>
      </c>
      <c r="I45" s="7">
        <f>AVERAGE(I36:I44)</f>
        <v>7.7350349381000702E-2</v>
      </c>
      <c r="J45" s="7">
        <f>AVERAGE(J36:J44)</f>
        <v>9.2494912494912498E-2</v>
      </c>
      <c r="K45" s="7">
        <f>AVERAGE(K36:K44)</f>
        <v>2.517253277378869E-2</v>
      </c>
      <c r="L45" s="7">
        <f>AVERAGE(L36:L44)</f>
        <v>2.2568992914239927E-3</v>
      </c>
      <c r="M45" s="7">
        <f>AVERAGE(M36:M44)</f>
        <v>2.0699980378382322E-2</v>
      </c>
    </row>
    <row r="46" spans="1:13" x14ac:dyDescent="0.2">
      <c r="A46" s="6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22</v>
      </c>
      <c r="B2">
        <v>2</v>
      </c>
      <c r="C2">
        <v>11.18</v>
      </c>
      <c r="D2">
        <v>2.91</v>
      </c>
      <c r="E2">
        <v>1.85</v>
      </c>
      <c r="F2">
        <v>3.7044000000000001</v>
      </c>
      <c r="G2">
        <v>242</v>
      </c>
      <c r="H2">
        <v>204</v>
      </c>
      <c r="I2">
        <v>30</v>
      </c>
      <c r="J2">
        <v>30</v>
      </c>
      <c r="K2">
        <v>0.69</v>
      </c>
      <c r="L2">
        <v>0.94699999999999995</v>
      </c>
      <c r="M2">
        <v>1.1519999999999999</v>
      </c>
    </row>
    <row r="3" spans="1:13" x14ac:dyDescent="0.2">
      <c r="A3" t="s">
        <v>23</v>
      </c>
      <c r="B3">
        <v>355</v>
      </c>
      <c r="C3">
        <v>35.709999999999987</v>
      </c>
      <c r="D3">
        <v>82.15</v>
      </c>
      <c r="E3">
        <v>6.54</v>
      </c>
      <c r="F3">
        <v>13.077</v>
      </c>
      <c r="G3">
        <v>108</v>
      </c>
      <c r="H3">
        <v>84</v>
      </c>
      <c r="I3">
        <v>29</v>
      </c>
      <c r="J3">
        <v>30</v>
      </c>
      <c r="K3">
        <v>4.32</v>
      </c>
      <c r="L3">
        <v>1.4111</v>
      </c>
      <c r="M3">
        <v>1.1561999999999999</v>
      </c>
    </row>
    <row r="4" spans="1:13" x14ac:dyDescent="0.2">
      <c r="A4" t="s">
        <v>24</v>
      </c>
      <c r="B4">
        <v>166</v>
      </c>
      <c r="C4">
        <v>34.57</v>
      </c>
      <c r="D4">
        <v>39.85</v>
      </c>
      <c r="E4">
        <v>6.34</v>
      </c>
      <c r="F4">
        <v>12.6874</v>
      </c>
      <c r="G4">
        <v>109</v>
      </c>
      <c r="H4">
        <v>82</v>
      </c>
      <c r="I4">
        <v>29</v>
      </c>
      <c r="J4">
        <v>30</v>
      </c>
      <c r="K4">
        <v>4.17</v>
      </c>
      <c r="L4">
        <v>1.3582000000000001</v>
      </c>
      <c r="M4">
        <v>1.1464000000000001</v>
      </c>
    </row>
    <row r="5" spans="1:13" x14ac:dyDescent="0.2">
      <c r="A5" t="s">
        <v>25</v>
      </c>
      <c r="B5">
        <v>185</v>
      </c>
      <c r="C5">
        <v>36.81</v>
      </c>
      <c r="D5">
        <v>42.09</v>
      </c>
      <c r="E5">
        <v>6.7</v>
      </c>
      <c r="F5">
        <v>13.399100000000001</v>
      </c>
      <c r="G5">
        <v>106</v>
      </c>
      <c r="H5">
        <v>84</v>
      </c>
      <c r="I5">
        <v>29</v>
      </c>
      <c r="J5">
        <v>28</v>
      </c>
      <c r="K5">
        <v>4.4000000000000004</v>
      </c>
      <c r="L5">
        <v>1.37</v>
      </c>
      <c r="M5">
        <v>1.1648000000000001</v>
      </c>
    </row>
    <row r="6" spans="1:13" x14ac:dyDescent="0.2">
      <c r="A6" t="s">
        <v>26</v>
      </c>
      <c r="B6">
        <v>112</v>
      </c>
      <c r="C6">
        <v>33.57</v>
      </c>
      <c r="D6">
        <v>25.25</v>
      </c>
      <c r="E6">
        <v>6.03</v>
      </c>
      <c r="F6">
        <v>12.055999999999999</v>
      </c>
      <c r="G6">
        <v>107</v>
      </c>
      <c r="H6">
        <v>85</v>
      </c>
      <c r="I6">
        <v>29</v>
      </c>
      <c r="J6">
        <v>30</v>
      </c>
      <c r="K6">
        <v>4.4400000000000004</v>
      </c>
      <c r="L6">
        <v>1.2851999999999999</v>
      </c>
      <c r="M6">
        <v>1.1426000000000001</v>
      </c>
    </row>
    <row r="7" spans="1:13" x14ac:dyDescent="0.2">
      <c r="A7" t="s">
        <v>27</v>
      </c>
      <c r="B7">
        <v>100</v>
      </c>
      <c r="C7">
        <v>35.94</v>
      </c>
      <c r="D7">
        <v>27.93</v>
      </c>
      <c r="E7">
        <v>6.67</v>
      </c>
      <c r="F7">
        <v>13.339600000000001</v>
      </c>
      <c r="G7">
        <v>116</v>
      </c>
      <c r="H7">
        <v>85</v>
      </c>
      <c r="I7">
        <v>28</v>
      </c>
      <c r="J7">
        <v>28</v>
      </c>
      <c r="K7">
        <v>3.58</v>
      </c>
      <c r="L7">
        <v>1.3062</v>
      </c>
      <c r="M7">
        <v>1.1861999999999999</v>
      </c>
    </row>
    <row r="8" spans="1:13" x14ac:dyDescent="0.2">
      <c r="A8" t="s">
        <v>28</v>
      </c>
      <c r="B8">
        <v>61</v>
      </c>
      <c r="C8">
        <v>37.25</v>
      </c>
      <c r="D8">
        <v>14.17</v>
      </c>
      <c r="E8">
        <v>6.77</v>
      </c>
      <c r="F8">
        <v>13.5327</v>
      </c>
      <c r="G8">
        <v>105</v>
      </c>
      <c r="H8">
        <v>82</v>
      </c>
      <c r="I8">
        <v>30</v>
      </c>
      <c r="J8">
        <v>30</v>
      </c>
      <c r="K8">
        <v>4.3</v>
      </c>
      <c r="L8">
        <v>1.1960999999999999</v>
      </c>
      <c r="M8">
        <v>1.153</v>
      </c>
    </row>
    <row r="9" spans="1:13" x14ac:dyDescent="0.2">
      <c r="A9" t="s">
        <v>29</v>
      </c>
      <c r="B9">
        <v>72</v>
      </c>
      <c r="C9">
        <v>38</v>
      </c>
      <c r="D9">
        <v>14.92</v>
      </c>
      <c r="E9">
        <v>7.13</v>
      </c>
      <c r="F9">
        <v>14.252599999999999</v>
      </c>
      <c r="G9">
        <v>97</v>
      </c>
      <c r="H9">
        <v>78</v>
      </c>
      <c r="I9">
        <v>28</v>
      </c>
      <c r="J9">
        <v>28</v>
      </c>
      <c r="K9">
        <v>4.83</v>
      </c>
      <c r="L9">
        <v>1.2028000000000001</v>
      </c>
      <c r="M9">
        <v>1.1625000000000001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30</v>
      </c>
      <c r="B2">
        <v>39</v>
      </c>
      <c r="C2">
        <v>32.42</v>
      </c>
      <c r="D2">
        <v>8.76</v>
      </c>
      <c r="E2">
        <v>5.56</v>
      </c>
      <c r="F2">
        <v>11.1204</v>
      </c>
      <c r="G2">
        <v>104</v>
      </c>
      <c r="H2">
        <v>80</v>
      </c>
      <c r="I2">
        <v>30</v>
      </c>
      <c r="J2">
        <v>30</v>
      </c>
      <c r="K2">
        <v>4.45</v>
      </c>
      <c r="L2">
        <v>1.2408999999999999</v>
      </c>
      <c r="M2">
        <v>1.1407</v>
      </c>
    </row>
    <row r="3" spans="1:13" x14ac:dyDescent="0.2">
      <c r="A3" t="s">
        <v>31</v>
      </c>
      <c r="B3">
        <v>47</v>
      </c>
      <c r="C3">
        <v>34.119999999999997</v>
      </c>
      <c r="D3">
        <v>10.33</v>
      </c>
      <c r="E3">
        <v>6.5500000000000007</v>
      </c>
      <c r="F3">
        <v>13.108599999999999</v>
      </c>
      <c r="G3">
        <v>98</v>
      </c>
      <c r="H3">
        <v>82</v>
      </c>
      <c r="I3">
        <v>28</v>
      </c>
      <c r="J3">
        <v>28</v>
      </c>
      <c r="K3">
        <v>4.55</v>
      </c>
      <c r="L3">
        <v>1.2787999999999999</v>
      </c>
      <c r="M3">
        <v>1.1366000000000001</v>
      </c>
    </row>
    <row r="4" spans="1:13" x14ac:dyDescent="0.2">
      <c r="A4" t="s">
        <v>32</v>
      </c>
      <c r="B4">
        <v>40</v>
      </c>
      <c r="C4">
        <v>37.51</v>
      </c>
      <c r="D4">
        <v>10.37</v>
      </c>
      <c r="E4">
        <v>6.58</v>
      </c>
      <c r="F4">
        <v>13.155200000000001</v>
      </c>
      <c r="G4">
        <v>110</v>
      </c>
      <c r="H4">
        <v>76</v>
      </c>
      <c r="I4">
        <v>30</v>
      </c>
      <c r="J4">
        <v>30</v>
      </c>
      <c r="K4">
        <v>3.86</v>
      </c>
      <c r="L4">
        <v>1.2796000000000001</v>
      </c>
      <c r="M4">
        <v>1.1587000000000001</v>
      </c>
    </row>
    <row r="5" spans="1:13" x14ac:dyDescent="0.2">
      <c r="A5" t="s">
        <v>33</v>
      </c>
      <c r="B5">
        <v>32</v>
      </c>
      <c r="C5">
        <v>34.01</v>
      </c>
      <c r="D5">
        <v>10.11</v>
      </c>
      <c r="E5">
        <v>6.45</v>
      </c>
      <c r="F5">
        <v>12.909599999999999</v>
      </c>
      <c r="G5">
        <v>116</v>
      </c>
      <c r="H5">
        <v>85</v>
      </c>
      <c r="I5">
        <v>27</v>
      </c>
      <c r="J5">
        <v>28</v>
      </c>
      <c r="K5">
        <v>3.17</v>
      </c>
      <c r="L5">
        <v>1.2773000000000001</v>
      </c>
      <c r="M5">
        <v>1.1722999999999999</v>
      </c>
    </row>
    <row r="6" spans="1:13" x14ac:dyDescent="0.2">
      <c r="A6" t="s">
        <v>34</v>
      </c>
      <c r="B6">
        <v>32</v>
      </c>
      <c r="C6">
        <v>36.32</v>
      </c>
      <c r="D6">
        <v>9.9</v>
      </c>
      <c r="E6">
        <v>6.2799999999999994</v>
      </c>
      <c r="F6">
        <v>12.5565</v>
      </c>
      <c r="G6">
        <v>114</v>
      </c>
      <c r="H6">
        <v>92</v>
      </c>
      <c r="I6">
        <v>28</v>
      </c>
      <c r="J6">
        <v>28</v>
      </c>
      <c r="K6">
        <v>3.23</v>
      </c>
      <c r="L6">
        <v>1.2698</v>
      </c>
      <c r="M6">
        <v>1.1831</v>
      </c>
    </row>
    <row r="7" spans="1:13" x14ac:dyDescent="0.2">
      <c r="A7" t="s">
        <v>35</v>
      </c>
      <c r="B7">
        <v>51</v>
      </c>
      <c r="C7">
        <v>38</v>
      </c>
      <c r="D7">
        <v>10.8</v>
      </c>
      <c r="E7">
        <v>6.9</v>
      </c>
      <c r="F7">
        <v>13.796799999999999</v>
      </c>
      <c r="G7">
        <v>96</v>
      </c>
      <c r="H7">
        <v>77</v>
      </c>
      <c r="I7">
        <v>29</v>
      </c>
      <c r="J7">
        <v>28</v>
      </c>
      <c r="K7">
        <v>4.72</v>
      </c>
      <c r="L7">
        <v>1.2853000000000001</v>
      </c>
      <c r="M7">
        <v>1.1798999999999999</v>
      </c>
    </row>
    <row r="8" spans="1:13" x14ac:dyDescent="0.2">
      <c r="A8" t="s">
        <v>36</v>
      </c>
      <c r="B8">
        <v>49</v>
      </c>
      <c r="C8">
        <v>37.590000000000003</v>
      </c>
      <c r="D8">
        <v>11.45</v>
      </c>
      <c r="E8">
        <v>7.28</v>
      </c>
      <c r="F8">
        <v>14.5687</v>
      </c>
      <c r="G8">
        <v>105</v>
      </c>
      <c r="H8">
        <v>87</v>
      </c>
      <c r="I8">
        <v>28</v>
      </c>
      <c r="J8">
        <v>28</v>
      </c>
      <c r="K8">
        <v>4.28</v>
      </c>
      <c r="L8">
        <v>1.2999000000000001</v>
      </c>
      <c r="M8">
        <v>1.1672</v>
      </c>
    </row>
    <row r="9" spans="1:13" x14ac:dyDescent="0.2">
      <c r="A9" t="s">
        <v>37</v>
      </c>
      <c r="B9">
        <v>45</v>
      </c>
      <c r="C9">
        <v>35.33</v>
      </c>
      <c r="D9">
        <v>10.130000000000001</v>
      </c>
      <c r="E9">
        <v>6.4600000000000009</v>
      </c>
      <c r="F9">
        <v>12.911199999999999</v>
      </c>
      <c r="G9">
        <v>108</v>
      </c>
      <c r="H9">
        <v>95</v>
      </c>
      <c r="I9">
        <v>29</v>
      </c>
      <c r="J9">
        <v>30</v>
      </c>
      <c r="K9">
        <v>4.4400000000000004</v>
      </c>
      <c r="L9">
        <v>1.2722</v>
      </c>
      <c r="M9">
        <v>1.137</v>
      </c>
    </row>
    <row r="10" spans="1:13" x14ac:dyDescent="0.2">
      <c r="A10" t="s">
        <v>38</v>
      </c>
      <c r="B10">
        <v>84</v>
      </c>
      <c r="C10">
        <v>33.950000000000003</v>
      </c>
      <c r="D10">
        <v>18.920000000000002</v>
      </c>
      <c r="E10">
        <v>6.01</v>
      </c>
      <c r="F10">
        <v>12.0299</v>
      </c>
      <c r="G10">
        <v>108</v>
      </c>
      <c r="H10">
        <v>92</v>
      </c>
      <c r="I10">
        <v>30</v>
      </c>
      <c r="J10">
        <v>30</v>
      </c>
      <c r="K10">
        <v>4.4400000000000004</v>
      </c>
      <c r="L10">
        <v>1.2463</v>
      </c>
      <c r="M10">
        <v>1.1452</v>
      </c>
    </row>
    <row r="11" spans="1:13" x14ac:dyDescent="0.2">
      <c r="A11" t="s">
        <v>39</v>
      </c>
      <c r="B11">
        <v>65</v>
      </c>
      <c r="C11">
        <v>35.17</v>
      </c>
      <c r="D11">
        <v>20.010000000000002</v>
      </c>
      <c r="E11">
        <v>6.370000000000001</v>
      </c>
      <c r="F11">
        <v>12.735300000000001</v>
      </c>
      <c r="G11">
        <v>117</v>
      </c>
      <c r="H11">
        <v>87</v>
      </c>
      <c r="I11">
        <v>28</v>
      </c>
      <c r="J11">
        <v>28</v>
      </c>
      <c r="K11">
        <v>3.25</v>
      </c>
      <c r="L11">
        <v>1.2618</v>
      </c>
      <c r="M11">
        <v>1.1752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40</v>
      </c>
      <c r="B2">
        <v>3</v>
      </c>
      <c r="C2">
        <v>11.18</v>
      </c>
      <c r="D2">
        <v>2.94</v>
      </c>
      <c r="E2">
        <v>1.87</v>
      </c>
      <c r="F2">
        <v>3.7442000000000002</v>
      </c>
      <c r="G2">
        <v>210</v>
      </c>
      <c r="H2">
        <v>165</v>
      </c>
      <c r="I2">
        <v>29</v>
      </c>
      <c r="J2">
        <v>30</v>
      </c>
      <c r="K2">
        <v>1.02</v>
      </c>
      <c r="L2">
        <v>0.95279999999999998</v>
      </c>
      <c r="M2">
        <v>1.1265000000000001</v>
      </c>
    </row>
    <row r="3" spans="1:13" x14ac:dyDescent="0.2">
      <c r="A3" t="s">
        <v>41</v>
      </c>
      <c r="B3">
        <v>101</v>
      </c>
      <c r="C3">
        <v>31.77</v>
      </c>
      <c r="D3">
        <v>27</v>
      </c>
      <c r="E3">
        <v>5.73</v>
      </c>
      <c r="F3">
        <v>11.463699999999999</v>
      </c>
      <c r="G3">
        <v>112</v>
      </c>
      <c r="H3">
        <v>87</v>
      </c>
      <c r="I3">
        <v>28</v>
      </c>
      <c r="J3">
        <v>28</v>
      </c>
      <c r="K3">
        <v>3.74</v>
      </c>
      <c r="L3">
        <v>1.3391999999999999</v>
      </c>
      <c r="M3">
        <v>1.157</v>
      </c>
    </row>
    <row r="4" spans="1:13" x14ac:dyDescent="0.2">
      <c r="A4" t="s">
        <v>42</v>
      </c>
      <c r="B4">
        <v>236</v>
      </c>
      <c r="C4">
        <v>38.080000000000013</v>
      </c>
      <c r="D4">
        <v>54.9</v>
      </c>
      <c r="E4">
        <v>6.99</v>
      </c>
      <c r="F4">
        <v>13.9809</v>
      </c>
      <c r="G4">
        <v>105</v>
      </c>
      <c r="H4">
        <v>82</v>
      </c>
      <c r="I4">
        <v>29</v>
      </c>
      <c r="J4">
        <v>28</v>
      </c>
      <c r="K4">
        <v>4.3</v>
      </c>
      <c r="L4">
        <v>1.3387</v>
      </c>
      <c r="M4">
        <v>1.1586000000000001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43</v>
      </c>
      <c r="B2">
        <v>78</v>
      </c>
      <c r="C2">
        <v>37.82</v>
      </c>
      <c r="D2">
        <v>15.67</v>
      </c>
      <c r="E2">
        <v>6.65</v>
      </c>
      <c r="F2">
        <v>13.2904</v>
      </c>
      <c r="G2">
        <v>101</v>
      </c>
      <c r="H2">
        <v>88</v>
      </c>
      <c r="I2">
        <v>30</v>
      </c>
      <c r="J2">
        <v>30</v>
      </c>
      <c r="K2">
        <v>4.9800000000000004</v>
      </c>
      <c r="L2">
        <v>1.3191999999999999</v>
      </c>
      <c r="M2">
        <v>1.1568000000000001</v>
      </c>
    </row>
    <row r="3" spans="1:13" x14ac:dyDescent="0.2">
      <c r="A3" t="s">
        <v>44</v>
      </c>
      <c r="B3">
        <v>66</v>
      </c>
      <c r="C3">
        <v>35.92</v>
      </c>
      <c r="D3">
        <v>16.02</v>
      </c>
      <c r="E3">
        <v>6.78</v>
      </c>
      <c r="F3">
        <v>13.5505</v>
      </c>
      <c r="G3">
        <v>109</v>
      </c>
      <c r="H3">
        <v>89</v>
      </c>
      <c r="I3">
        <v>29</v>
      </c>
      <c r="J3">
        <v>28</v>
      </c>
      <c r="K3">
        <v>4.12</v>
      </c>
      <c r="L3">
        <v>1.3182</v>
      </c>
      <c r="M3">
        <v>1.1592</v>
      </c>
    </row>
    <row r="4" spans="1:13" x14ac:dyDescent="0.2">
      <c r="A4" t="s">
        <v>45</v>
      </c>
      <c r="B4">
        <v>69</v>
      </c>
      <c r="C4">
        <v>35.78</v>
      </c>
      <c r="D4">
        <v>15.42</v>
      </c>
      <c r="E4">
        <v>6.54</v>
      </c>
      <c r="F4">
        <v>13.0793</v>
      </c>
      <c r="G4">
        <v>97</v>
      </c>
      <c r="H4">
        <v>77</v>
      </c>
      <c r="I4">
        <v>28</v>
      </c>
      <c r="J4">
        <v>28</v>
      </c>
      <c r="K4">
        <v>4.47</v>
      </c>
      <c r="L4">
        <v>1.3098000000000001</v>
      </c>
      <c r="M4">
        <v>1.1594</v>
      </c>
    </row>
    <row r="5" spans="1:13" x14ac:dyDescent="0.2">
      <c r="A5" t="s">
        <v>46</v>
      </c>
      <c r="B5">
        <v>54</v>
      </c>
      <c r="C5">
        <v>35.380000000000003</v>
      </c>
      <c r="D5">
        <v>15.06</v>
      </c>
      <c r="E5">
        <v>6.4</v>
      </c>
      <c r="F5">
        <v>12.7906</v>
      </c>
      <c r="G5">
        <v>116</v>
      </c>
      <c r="H5">
        <v>96</v>
      </c>
      <c r="I5">
        <v>29</v>
      </c>
      <c r="J5">
        <v>28</v>
      </c>
      <c r="K5">
        <v>3.59</v>
      </c>
      <c r="L5">
        <v>1.3084</v>
      </c>
      <c r="M5">
        <v>1.1603000000000001</v>
      </c>
    </row>
    <row r="6" spans="1:13" x14ac:dyDescent="0.2">
      <c r="A6" t="s">
        <v>47</v>
      </c>
      <c r="B6">
        <v>49</v>
      </c>
      <c r="C6">
        <v>34</v>
      </c>
      <c r="D6">
        <v>14.89</v>
      </c>
      <c r="E6">
        <v>6.31</v>
      </c>
      <c r="F6">
        <v>12.6289</v>
      </c>
      <c r="G6">
        <v>115</v>
      </c>
      <c r="H6">
        <v>87</v>
      </c>
      <c r="I6">
        <v>27</v>
      </c>
      <c r="J6">
        <v>28</v>
      </c>
      <c r="K6">
        <v>3.29</v>
      </c>
      <c r="L6">
        <v>1.3066</v>
      </c>
      <c r="M6">
        <v>1.1853</v>
      </c>
    </row>
    <row r="7" spans="1:13" x14ac:dyDescent="0.2">
      <c r="A7" t="s">
        <v>48</v>
      </c>
      <c r="B7">
        <v>63</v>
      </c>
      <c r="C7">
        <v>37.119999999999997</v>
      </c>
      <c r="D7">
        <v>15.26</v>
      </c>
      <c r="E7">
        <v>6.48</v>
      </c>
      <c r="F7">
        <v>12.964399999999999</v>
      </c>
      <c r="G7">
        <v>105</v>
      </c>
      <c r="H7">
        <v>85</v>
      </c>
      <c r="I7">
        <v>29</v>
      </c>
      <c r="J7">
        <v>28</v>
      </c>
      <c r="K7">
        <v>4.13</v>
      </c>
      <c r="L7">
        <v>1.3176000000000001</v>
      </c>
      <c r="M7">
        <v>1.1609</v>
      </c>
    </row>
    <row r="8" spans="1:13" x14ac:dyDescent="0.2">
      <c r="A8" t="s">
        <v>49</v>
      </c>
      <c r="B8">
        <v>66</v>
      </c>
      <c r="C8">
        <v>36.01</v>
      </c>
      <c r="D8">
        <v>16.07</v>
      </c>
      <c r="E8">
        <v>6.8000000000000007</v>
      </c>
      <c r="F8">
        <v>13.605399999999999</v>
      </c>
      <c r="G8">
        <v>109</v>
      </c>
      <c r="H8">
        <v>79</v>
      </c>
      <c r="I8">
        <v>28</v>
      </c>
      <c r="J8">
        <v>28</v>
      </c>
      <c r="K8">
        <v>4.1100000000000003</v>
      </c>
      <c r="L8">
        <v>1.3278000000000001</v>
      </c>
      <c r="M8">
        <v>1.2235</v>
      </c>
    </row>
    <row r="9" spans="1:13" x14ac:dyDescent="0.2">
      <c r="A9" t="s">
        <v>50</v>
      </c>
      <c r="B9">
        <v>68</v>
      </c>
      <c r="C9">
        <v>36.590000000000003</v>
      </c>
      <c r="D9">
        <v>16.18</v>
      </c>
      <c r="E9">
        <v>6.88</v>
      </c>
      <c r="F9">
        <v>13.757899999999999</v>
      </c>
      <c r="G9">
        <v>104</v>
      </c>
      <c r="H9">
        <v>88</v>
      </c>
      <c r="I9">
        <v>28</v>
      </c>
      <c r="J9">
        <v>28</v>
      </c>
      <c r="K9">
        <v>4.2</v>
      </c>
      <c r="L9">
        <v>1.3313999999999999</v>
      </c>
      <c r="M9">
        <v>1.1751</v>
      </c>
    </row>
    <row r="10" spans="1:13" x14ac:dyDescent="0.2">
      <c r="A10" t="s">
        <v>51</v>
      </c>
      <c r="B10">
        <v>276</v>
      </c>
      <c r="C10">
        <v>36.26</v>
      </c>
      <c r="D10">
        <v>62.06</v>
      </c>
      <c r="E10">
        <v>6.58</v>
      </c>
      <c r="F10">
        <v>13.168699999999999</v>
      </c>
      <c r="G10">
        <v>105</v>
      </c>
      <c r="H10">
        <v>85</v>
      </c>
      <c r="I10">
        <v>29</v>
      </c>
      <c r="J10">
        <v>28</v>
      </c>
      <c r="K10">
        <v>4.45</v>
      </c>
      <c r="L10">
        <v>1.4173</v>
      </c>
      <c r="M10">
        <v>1.1507000000000001</v>
      </c>
    </row>
    <row r="11" spans="1:13" x14ac:dyDescent="0.2">
      <c r="A11" t="s">
        <v>52</v>
      </c>
      <c r="B11">
        <v>260</v>
      </c>
      <c r="C11">
        <v>35.93</v>
      </c>
      <c r="D11">
        <v>63.11</v>
      </c>
      <c r="E11">
        <v>6.7</v>
      </c>
      <c r="F11">
        <v>13.395899999999999</v>
      </c>
      <c r="G11">
        <v>108</v>
      </c>
      <c r="H11">
        <v>84</v>
      </c>
      <c r="I11">
        <v>28</v>
      </c>
      <c r="J11">
        <v>28</v>
      </c>
      <c r="K11">
        <v>4.12</v>
      </c>
      <c r="L11">
        <v>1.4249000000000001</v>
      </c>
      <c r="M11">
        <v>1.1877</v>
      </c>
    </row>
    <row r="12" spans="1:13" x14ac:dyDescent="0.2">
      <c r="A12" t="s">
        <v>53</v>
      </c>
      <c r="B12">
        <v>142</v>
      </c>
      <c r="C12">
        <v>35.93</v>
      </c>
      <c r="D12">
        <v>31.43</v>
      </c>
      <c r="E12">
        <v>6.67</v>
      </c>
      <c r="F12">
        <v>13.339700000000001</v>
      </c>
      <c r="G12">
        <v>101</v>
      </c>
      <c r="H12">
        <v>80</v>
      </c>
      <c r="I12">
        <v>29</v>
      </c>
      <c r="J12">
        <v>28</v>
      </c>
      <c r="K12">
        <v>4.5199999999999996</v>
      </c>
      <c r="L12">
        <v>1.3148</v>
      </c>
      <c r="M12">
        <v>1.1493</v>
      </c>
    </row>
    <row r="13" spans="1:13" x14ac:dyDescent="0.2">
      <c r="A13" t="s">
        <v>54</v>
      </c>
      <c r="B13">
        <v>130</v>
      </c>
      <c r="C13">
        <v>36.57</v>
      </c>
      <c r="D13">
        <v>31.36</v>
      </c>
      <c r="E13">
        <v>6.65</v>
      </c>
      <c r="F13">
        <v>13.295199999999999</v>
      </c>
      <c r="G13">
        <v>110</v>
      </c>
      <c r="H13">
        <v>84</v>
      </c>
      <c r="I13">
        <v>28</v>
      </c>
      <c r="J13">
        <v>28</v>
      </c>
      <c r="K13">
        <v>4.1500000000000004</v>
      </c>
      <c r="L13">
        <v>1.3206</v>
      </c>
      <c r="M13">
        <v>1.2039</v>
      </c>
    </row>
    <row r="14" spans="1:13" x14ac:dyDescent="0.2">
      <c r="A14" t="s">
        <v>55</v>
      </c>
      <c r="B14">
        <v>108</v>
      </c>
      <c r="C14">
        <v>34.69</v>
      </c>
      <c r="D14">
        <v>30.52</v>
      </c>
      <c r="E14">
        <v>6.48</v>
      </c>
      <c r="F14">
        <v>12.9541</v>
      </c>
      <c r="G14">
        <v>117</v>
      </c>
      <c r="H14">
        <v>92</v>
      </c>
      <c r="I14">
        <v>28</v>
      </c>
      <c r="J14">
        <v>28</v>
      </c>
      <c r="K14">
        <v>3.54</v>
      </c>
      <c r="L14">
        <v>1.3123</v>
      </c>
      <c r="M14">
        <v>1.1718</v>
      </c>
    </row>
    <row r="15" spans="1:13" x14ac:dyDescent="0.2">
      <c r="A15" t="s">
        <v>56</v>
      </c>
      <c r="B15">
        <v>150</v>
      </c>
      <c r="C15">
        <v>37.29</v>
      </c>
      <c r="D15">
        <v>32.03</v>
      </c>
      <c r="E15">
        <v>6.8000000000000007</v>
      </c>
      <c r="F15">
        <v>13.5989</v>
      </c>
      <c r="G15">
        <v>101</v>
      </c>
      <c r="H15">
        <v>85</v>
      </c>
      <c r="I15">
        <v>29</v>
      </c>
      <c r="J15">
        <v>30</v>
      </c>
      <c r="K15">
        <v>4.68</v>
      </c>
      <c r="L15">
        <v>1.323</v>
      </c>
      <c r="M15">
        <v>1.1625000000000001</v>
      </c>
    </row>
    <row r="16" spans="1:13" x14ac:dyDescent="0.2">
      <c r="A16" t="s">
        <v>57</v>
      </c>
      <c r="B16">
        <v>544</v>
      </c>
      <c r="C16">
        <v>36.11</v>
      </c>
      <c r="D16">
        <v>125.79</v>
      </c>
      <c r="E16">
        <v>6.67</v>
      </c>
      <c r="F16">
        <v>13.346500000000001</v>
      </c>
      <c r="G16">
        <v>107</v>
      </c>
      <c r="H16">
        <v>85</v>
      </c>
      <c r="I16">
        <v>28</v>
      </c>
      <c r="J16">
        <v>28</v>
      </c>
      <c r="K16">
        <v>4.32</v>
      </c>
      <c r="L16">
        <v>1.4671000000000001</v>
      </c>
      <c r="M16">
        <v>1.1660999999999999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Regional analysis_Square Grid</vt:lpstr>
      <vt:lpstr>Regional analysis_ETDRS Grid</vt:lpstr>
      <vt:lpstr>Regional analysis_Extended ETDR</vt:lpstr>
      <vt:lpstr>Regional analysis_Foveal Ring</vt:lpstr>
      <vt:lpstr>Regional analysis_ONH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 Zhang (22756463)</cp:lastModifiedBy>
  <dcterms:created xsi:type="dcterms:W3CDTF">2026-02-06T07:44:17Z</dcterms:created>
  <dcterms:modified xsi:type="dcterms:W3CDTF">2026-02-06T08:48:28Z</dcterms:modified>
</cp:coreProperties>
</file>