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https://uniwa-my.sharepoint.com/personal/22756463_student_uwa_edu_au/Documents/M4 Backup/dev/octava/regional_analysis/"/>
    </mc:Choice>
  </mc:AlternateContent>
  <xr:revisionPtr revIDLastSave="380" documentId="8_{5BB45B78-0EE8-5946-A343-25A323418217}" xr6:coauthVersionLast="47" xr6:coauthVersionMax="47" xr10:uidLastSave="{ED1B626D-E856-5F47-9FBF-CFD4808B7780}"/>
  <bookViews>
    <workbookView xWindow="360" yWindow="760" windowWidth="21780" windowHeight="18000" xr2:uid="{00000000-000D-0000-FFFF-FFFF00000000}"/>
  </bookViews>
  <sheets>
    <sheet name="Regional analysis_Square Grid" sheetId="1" r:id="rId1"/>
    <sheet name="Regional analysis_ETDRS Grid" sheetId="2" r:id="rId2"/>
    <sheet name="Regional analysis_Extended ETDR" sheetId="3" r:id="rId3"/>
    <sheet name="Regional analysis_Foveal Ring" sheetId="4" r:id="rId4"/>
    <sheet name="Regional analysis_ONH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1" l="1"/>
  <c r="J47" i="1"/>
  <c r="H47" i="1"/>
  <c r="G47" i="1"/>
  <c r="C47" i="1"/>
  <c r="D47" i="1"/>
  <c r="E47" i="1"/>
  <c r="F47" i="1"/>
  <c r="I47" i="1"/>
  <c r="L47" i="1"/>
  <c r="M47" i="1"/>
  <c r="B47" i="1"/>
  <c r="G43" i="2"/>
  <c r="C43" i="2"/>
  <c r="D43" i="2"/>
  <c r="E43" i="2"/>
  <c r="F43" i="2"/>
  <c r="H43" i="2"/>
  <c r="I43" i="2"/>
  <c r="J43" i="2"/>
  <c r="K43" i="2"/>
  <c r="L43" i="2"/>
  <c r="M43" i="2"/>
  <c r="B43" i="2"/>
  <c r="H51" i="3"/>
  <c r="B51" i="3"/>
  <c r="F51" i="3"/>
  <c r="C51" i="3"/>
  <c r="D51" i="3"/>
  <c r="E51" i="3"/>
  <c r="G51" i="3"/>
  <c r="I51" i="3"/>
  <c r="J51" i="3"/>
  <c r="K51" i="3"/>
  <c r="L51" i="3"/>
  <c r="M51" i="3"/>
  <c r="C23" i="4"/>
  <c r="D23" i="4"/>
  <c r="E23" i="4"/>
  <c r="F23" i="4"/>
  <c r="G23" i="4"/>
  <c r="H23" i="4"/>
  <c r="I23" i="4"/>
  <c r="J23" i="4"/>
  <c r="K23" i="4"/>
  <c r="L23" i="4"/>
  <c r="M23" i="4"/>
  <c r="B23" i="4"/>
  <c r="H71" i="5"/>
  <c r="I71" i="5"/>
  <c r="C71" i="5"/>
  <c r="D71" i="5"/>
  <c r="E71" i="5"/>
  <c r="F71" i="5"/>
  <c r="G71" i="5"/>
  <c r="J71" i="5"/>
  <c r="K71" i="5"/>
  <c r="L71" i="5"/>
  <c r="M71" i="5"/>
  <c r="B71" i="5"/>
  <c r="C69" i="5"/>
  <c r="D69" i="5"/>
  <c r="E69" i="5"/>
  <c r="F69" i="5"/>
  <c r="G69" i="5"/>
  <c r="H69" i="5"/>
  <c r="I69" i="5"/>
  <c r="J69" i="5"/>
  <c r="K69" i="5"/>
  <c r="L69" i="5"/>
  <c r="M69" i="5"/>
  <c r="C70" i="5"/>
  <c r="D70" i="5"/>
  <c r="E70" i="5"/>
  <c r="F70" i="5"/>
  <c r="G70" i="5"/>
  <c r="H70" i="5"/>
  <c r="I70" i="5"/>
  <c r="J70" i="5"/>
  <c r="K70" i="5"/>
  <c r="L70" i="5"/>
  <c r="M70" i="5"/>
  <c r="B70" i="5"/>
  <c r="B69" i="5"/>
  <c r="K22" i="4"/>
  <c r="K21" i="4"/>
  <c r="M21" i="4"/>
  <c r="M22" i="4"/>
  <c r="L22" i="4"/>
  <c r="L21" i="4"/>
  <c r="H22" i="4"/>
  <c r="H21" i="4"/>
  <c r="D21" i="4"/>
  <c r="E21" i="4"/>
  <c r="F21" i="4"/>
  <c r="G21" i="4"/>
  <c r="I21" i="4"/>
  <c r="J21" i="4"/>
  <c r="D22" i="4"/>
  <c r="E22" i="4"/>
  <c r="F22" i="4"/>
  <c r="G22" i="4"/>
  <c r="I22" i="4"/>
  <c r="J22" i="4"/>
  <c r="C22" i="4"/>
  <c r="C21" i="4"/>
  <c r="B22" i="4"/>
  <c r="B21" i="4"/>
  <c r="G18" i="4"/>
  <c r="F18" i="4"/>
  <c r="E18" i="4"/>
  <c r="D19" i="4"/>
  <c r="C18" i="4"/>
  <c r="D18" i="4"/>
  <c r="H18" i="4"/>
  <c r="I18" i="4"/>
  <c r="J18" i="4"/>
  <c r="K18" i="4"/>
  <c r="L18" i="4"/>
  <c r="M18" i="4"/>
  <c r="C19" i="4"/>
  <c r="E19" i="4"/>
  <c r="F19" i="4"/>
  <c r="G19" i="4"/>
  <c r="H19" i="4"/>
  <c r="I19" i="4"/>
  <c r="J19" i="4"/>
  <c r="K19" i="4"/>
  <c r="L19" i="4"/>
  <c r="M19" i="4"/>
  <c r="C20" i="4"/>
  <c r="D20" i="4"/>
  <c r="E20" i="4"/>
  <c r="F20" i="4"/>
  <c r="G20" i="4"/>
  <c r="H20" i="4"/>
  <c r="I20" i="4"/>
  <c r="J20" i="4"/>
  <c r="K20" i="4"/>
  <c r="L20" i="4"/>
  <c r="M20" i="4"/>
  <c r="B20" i="4"/>
  <c r="B19" i="4"/>
  <c r="B18" i="4"/>
  <c r="F59" i="5"/>
  <c r="C54" i="5"/>
  <c r="D54" i="5"/>
  <c r="E54" i="5"/>
  <c r="F54" i="5"/>
  <c r="G54" i="5"/>
  <c r="H54" i="5"/>
  <c r="I54" i="5"/>
  <c r="J54" i="5"/>
  <c r="K54" i="5"/>
  <c r="L54" i="5"/>
  <c r="M54" i="5"/>
  <c r="C55" i="5"/>
  <c r="D55" i="5"/>
  <c r="E55" i="5"/>
  <c r="F55" i="5"/>
  <c r="G55" i="5"/>
  <c r="H55" i="5"/>
  <c r="I55" i="5"/>
  <c r="J55" i="5"/>
  <c r="K55" i="5"/>
  <c r="L55" i="5"/>
  <c r="M55" i="5"/>
  <c r="C56" i="5"/>
  <c r="D56" i="5"/>
  <c r="E56" i="5"/>
  <c r="F56" i="5"/>
  <c r="G56" i="5"/>
  <c r="H56" i="5"/>
  <c r="I56" i="5"/>
  <c r="J56" i="5"/>
  <c r="K56" i="5"/>
  <c r="L56" i="5"/>
  <c r="M56" i="5"/>
  <c r="C57" i="5"/>
  <c r="D57" i="5"/>
  <c r="E57" i="5"/>
  <c r="F57" i="5"/>
  <c r="G57" i="5"/>
  <c r="H57" i="5"/>
  <c r="I57" i="5"/>
  <c r="J57" i="5"/>
  <c r="K57" i="5"/>
  <c r="L57" i="5"/>
  <c r="M57" i="5"/>
  <c r="C58" i="5"/>
  <c r="D58" i="5"/>
  <c r="E58" i="5"/>
  <c r="F58" i="5"/>
  <c r="G58" i="5"/>
  <c r="H58" i="5"/>
  <c r="I58" i="5"/>
  <c r="J58" i="5"/>
  <c r="K58" i="5"/>
  <c r="L58" i="5"/>
  <c r="M58" i="5"/>
  <c r="C59" i="5"/>
  <c r="D59" i="5"/>
  <c r="E59" i="5"/>
  <c r="G59" i="5"/>
  <c r="H59" i="5"/>
  <c r="I59" i="5"/>
  <c r="J59" i="5"/>
  <c r="K59" i="5"/>
  <c r="L59" i="5"/>
  <c r="M59" i="5"/>
  <c r="C60" i="5"/>
  <c r="D60" i="5"/>
  <c r="E60" i="5"/>
  <c r="F60" i="5"/>
  <c r="G60" i="5"/>
  <c r="H60" i="5"/>
  <c r="I60" i="5"/>
  <c r="J60" i="5"/>
  <c r="K60" i="5"/>
  <c r="L60" i="5"/>
  <c r="M60" i="5"/>
  <c r="C61" i="5"/>
  <c r="D61" i="5"/>
  <c r="E61" i="5"/>
  <c r="F61" i="5"/>
  <c r="G61" i="5"/>
  <c r="H61" i="5"/>
  <c r="I61" i="5"/>
  <c r="J61" i="5"/>
  <c r="K61" i="5"/>
  <c r="L61" i="5"/>
  <c r="M61" i="5"/>
  <c r="C62" i="5"/>
  <c r="D62" i="5"/>
  <c r="E62" i="5"/>
  <c r="F62" i="5"/>
  <c r="G62" i="5"/>
  <c r="H62" i="5"/>
  <c r="I62" i="5"/>
  <c r="J62" i="5"/>
  <c r="K62" i="5"/>
  <c r="L62" i="5"/>
  <c r="M62" i="5"/>
  <c r="C63" i="5"/>
  <c r="D63" i="5"/>
  <c r="E63" i="5"/>
  <c r="F63" i="5"/>
  <c r="G63" i="5"/>
  <c r="H63" i="5"/>
  <c r="I63" i="5"/>
  <c r="J63" i="5"/>
  <c r="K63" i="5"/>
  <c r="L63" i="5"/>
  <c r="M63" i="5"/>
  <c r="C64" i="5"/>
  <c r="D64" i="5"/>
  <c r="E64" i="5"/>
  <c r="F64" i="5"/>
  <c r="G64" i="5"/>
  <c r="H64" i="5"/>
  <c r="I64" i="5"/>
  <c r="J64" i="5"/>
  <c r="K64" i="5"/>
  <c r="L64" i="5"/>
  <c r="M64" i="5"/>
  <c r="C65" i="5"/>
  <c r="D65" i="5"/>
  <c r="E65" i="5"/>
  <c r="F65" i="5"/>
  <c r="G65" i="5"/>
  <c r="H65" i="5"/>
  <c r="I65" i="5"/>
  <c r="J65" i="5"/>
  <c r="K65" i="5"/>
  <c r="L65" i="5"/>
  <c r="M65" i="5"/>
  <c r="C66" i="5"/>
  <c r="D66" i="5"/>
  <c r="E66" i="5"/>
  <c r="F66" i="5"/>
  <c r="G66" i="5"/>
  <c r="H66" i="5"/>
  <c r="I66" i="5"/>
  <c r="J66" i="5"/>
  <c r="K66" i="5"/>
  <c r="L66" i="5"/>
  <c r="M66" i="5"/>
  <c r="C67" i="5"/>
  <c r="D67" i="5"/>
  <c r="E67" i="5"/>
  <c r="F67" i="5"/>
  <c r="G67" i="5"/>
  <c r="H67" i="5"/>
  <c r="I67" i="5"/>
  <c r="J67" i="5"/>
  <c r="K67" i="5"/>
  <c r="L67" i="5"/>
  <c r="M67" i="5"/>
  <c r="C68" i="5"/>
  <c r="D68" i="5"/>
  <c r="E68" i="5"/>
  <c r="F68" i="5"/>
  <c r="G68" i="5"/>
  <c r="H68" i="5"/>
  <c r="I68" i="5"/>
  <c r="J68" i="5"/>
  <c r="K68" i="5"/>
  <c r="L68" i="5"/>
  <c r="M68" i="5"/>
  <c r="B68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54" i="5"/>
  <c r="C42" i="5"/>
  <c r="C37" i="5"/>
  <c r="D37" i="5"/>
  <c r="E37" i="5"/>
  <c r="F37" i="5"/>
  <c r="G37" i="5"/>
  <c r="H37" i="5"/>
  <c r="I37" i="5"/>
  <c r="J37" i="5"/>
  <c r="K37" i="5"/>
  <c r="L37" i="5"/>
  <c r="M37" i="5"/>
  <c r="C38" i="5"/>
  <c r="D38" i="5"/>
  <c r="E38" i="5"/>
  <c r="F38" i="5"/>
  <c r="G38" i="5"/>
  <c r="H38" i="5"/>
  <c r="I38" i="5"/>
  <c r="J38" i="5"/>
  <c r="K38" i="5"/>
  <c r="L38" i="5"/>
  <c r="M38" i="5"/>
  <c r="C39" i="5"/>
  <c r="D39" i="5"/>
  <c r="E39" i="5"/>
  <c r="F39" i="5"/>
  <c r="G39" i="5"/>
  <c r="H39" i="5"/>
  <c r="I39" i="5"/>
  <c r="J39" i="5"/>
  <c r="K39" i="5"/>
  <c r="L39" i="5"/>
  <c r="M39" i="5"/>
  <c r="C40" i="5"/>
  <c r="D40" i="5"/>
  <c r="E40" i="5"/>
  <c r="F40" i="5"/>
  <c r="G40" i="5"/>
  <c r="H40" i="5"/>
  <c r="I40" i="5"/>
  <c r="J40" i="5"/>
  <c r="K40" i="5"/>
  <c r="L40" i="5"/>
  <c r="M40" i="5"/>
  <c r="C41" i="5"/>
  <c r="D41" i="5"/>
  <c r="E41" i="5"/>
  <c r="F41" i="5"/>
  <c r="G41" i="5"/>
  <c r="H41" i="5"/>
  <c r="I41" i="5"/>
  <c r="J41" i="5"/>
  <c r="K41" i="5"/>
  <c r="L41" i="5"/>
  <c r="M41" i="5"/>
  <c r="D42" i="5"/>
  <c r="E42" i="5"/>
  <c r="F42" i="5"/>
  <c r="G42" i="5"/>
  <c r="H42" i="5"/>
  <c r="I42" i="5"/>
  <c r="J42" i="5"/>
  <c r="K42" i="5"/>
  <c r="L42" i="5"/>
  <c r="M42" i="5"/>
  <c r="C43" i="5"/>
  <c r="D43" i="5"/>
  <c r="E43" i="5"/>
  <c r="F43" i="5"/>
  <c r="G43" i="5"/>
  <c r="H43" i="5"/>
  <c r="I43" i="5"/>
  <c r="J43" i="5"/>
  <c r="K43" i="5"/>
  <c r="L43" i="5"/>
  <c r="M43" i="5"/>
  <c r="C44" i="5"/>
  <c r="D44" i="5"/>
  <c r="E44" i="5"/>
  <c r="F44" i="5"/>
  <c r="G44" i="5"/>
  <c r="H44" i="5"/>
  <c r="I44" i="5"/>
  <c r="J44" i="5"/>
  <c r="K44" i="5"/>
  <c r="L44" i="5"/>
  <c r="M44" i="5"/>
  <c r="C45" i="5"/>
  <c r="D45" i="5"/>
  <c r="E45" i="5"/>
  <c r="F45" i="5"/>
  <c r="G45" i="5"/>
  <c r="H45" i="5"/>
  <c r="I45" i="5"/>
  <c r="J45" i="5"/>
  <c r="K45" i="5"/>
  <c r="L45" i="5"/>
  <c r="M45" i="5"/>
  <c r="C46" i="5"/>
  <c r="D46" i="5"/>
  <c r="E46" i="5"/>
  <c r="F46" i="5"/>
  <c r="G46" i="5"/>
  <c r="H46" i="5"/>
  <c r="I46" i="5"/>
  <c r="J46" i="5"/>
  <c r="K46" i="5"/>
  <c r="L46" i="5"/>
  <c r="M46" i="5"/>
  <c r="C47" i="5"/>
  <c r="D47" i="5"/>
  <c r="E47" i="5"/>
  <c r="F47" i="5"/>
  <c r="G47" i="5"/>
  <c r="H47" i="5"/>
  <c r="I47" i="5"/>
  <c r="J47" i="5"/>
  <c r="K47" i="5"/>
  <c r="L47" i="5"/>
  <c r="M47" i="5"/>
  <c r="C48" i="5"/>
  <c r="D48" i="5"/>
  <c r="E48" i="5"/>
  <c r="F48" i="5"/>
  <c r="G48" i="5"/>
  <c r="H48" i="5"/>
  <c r="I48" i="5"/>
  <c r="J48" i="5"/>
  <c r="K48" i="5"/>
  <c r="L48" i="5"/>
  <c r="M48" i="5"/>
  <c r="C49" i="5"/>
  <c r="D49" i="5"/>
  <c r="E49" i="5"/>
  <c r="F49" i="5"/>
  <c r="G49" i="5"/>
  <c r="H49" i="5"/>
  <c r="I49" i="5"/>
  <c r="J49" i="5"/>
  <c r="K49" i="5"/>
  <c r="L49" i="5"/>
  <c r="M49" i="5"/>
  <c r="C50" i="5"/>
  <c r="D50" i="5"/>
  <c r="E50" i="5"/>
  <c r="F50" i="5"/>
  <c r="G50" i="5"/>
  <c r="H50" i="5"/>
  <c r="I50" i="5"/>
  <c r="J50" i="5"/>
  <c r="K50" i="5"/>
  <c r="L50" i="5"/>
  <c r="M50" i="5"/>
  <c r="C51" i="5"/>
  <c r="D51" i="5"/>
  <c r="E51" i="5"/>
  <c r="F51" i="5"/>
  <c r="G51" i="5"/>
  <c r="H51" i="5"/>
  <c r="I51" i="5"/>
  <c r="J51" i="5"/>
  <c r="K51" i="5"/>
  <c r="L51" i="5"/>
  <c r="M51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37" i="5"/>
  <c r="G13" i="4"/>
  <c r="H13" i="4"/>
  <c r="F13" i="4"/>
  <c r="D13" i="4"/>
  <c r="C13" i="4"/>
  <c r="E13" i="4"/>
  <c r="I13" i="4"/>
  <c r="J13" i="4"/>
  <c r="K13" i="4"/>
  <c r="L13" i="4"/>
  <c r="M13" i="4"/>
  <c r="C14" i="4"/>
  <c r="D14" i="4"/>
  <c r="E14" i="4"/>
  <c r="F14" i="4"/>
  <c r="G14" i="4"/>
  <c r="H14" i="4"/>
  <c r="I14" i="4"/>
  <c r="J14" i="4"/>
  <c r="K14" i="4"/>
  <c r="L14" i="4"/>
  <c r="M14" i="4"/>
  <c r="C15" i="4"/>
  <c r="D15" i="4"/>
  <c r="E15" i="4"/>
  <c r="F15" i="4"/>
  <c r="G15" i="4"/>
  <c r="H15" i="4"/>
  <c r="I15" i="4"/>
  <c r="J15" i="4"/>
  <c r="K15" i="4"/>
  <c r="L15" i="4"/>
  <c r="M15" i="4"/>
  <c r="B15" i="4"/>
  <c r="B14" i="4"/>
  <c r="B13" i="4"/>
  <c r="C49" i="3"/>
  <c r="D49" i="3"/>
  <c r="E49" i="3"/>
  <c r="F49" i="3"/>
  <c r="G49" i="3"/>
  <c r="H49" i="3"/>
  <c r="I49" i="3"/>
  <c r="J49" i="3"/>
  <c r="K49" i="3"/>
  <c r="L49" i="3"/>
  <c r="M49" i="3"/>
  <c r="C50" i="3"/>
  <c r="D50" i="3"/>
  <c r="E50" i="3"/>
  <c r="F50" i="3"/>
  <c r="G50" i="3"/>
  <c r="H50" i="3"/>
  <c r="I50" i="3"/>
  <c r="J50" i="3"/>
  <c r="K50" i="3"/>
  <c r="L50" i="3"/>
  <c r="M50" i="3"/>
  <c r="B50" i="3"/>
  <c r="B49" i="3"/>
  <c r="E41" i="3"/>
  <c r="C39" i="3"/>
  <c r="D39" i="3"/>
  <c r="E39" i="3"/>
  <c r="F39" i="3"/>
  <c r="G39" i="3"/>
  <c r="H39" i="3"/>
  <c r="I39" i="3"/>
  <c r="J39" i="3"/>
  <c r="K39" i="3"/>
  <c r="L39" i="3"/>
  <c r="M39" i="3"/>
  <c r="C40" i="3"/>
  <c r="D40" i="3"/>
  <c r="E40" i="3"/>
  <c r="F40" i="3"/>
  <c r="G40" i="3"/>
  <c r="H40" i="3"/>
  <c r="I40" i="3"/>
  <c r="J40" i="3"/>
  <c r="K40" i="3"/>
  <c r="L40" i="3"/>
  <c r="M40" i="3"/>
  <c r="C41" i="3"/>
  <c r="D41" i="3"/>
  <c r="F41" i="3"/>
  <c r="G41" i="3"/>
  <c r="H41" i="3"/>
  <c r="I41" i="3"/>
  <c r="J41" i="3"/>
  <c r="K41" i="3"/>
  <c r="L41" i="3"/>
  <c r="M41" i="3"/>
  <c r="C42" i="3"/>
  <c r="D42" i="3"/>
  <c r="E42" i="3"/>
  <c r="F42" i="3"/>
  <c r="G42" i="3"/>
  <c r="H42" i="3"/>
  <c r="I42" i="3"/>
  <c r="J42" i="3"/>
  <c r="K42" i="3"/>
  <c r="L42" i="3"/>
  <c r="M42" i="3"/>
  <c r="C43" i="3"/>
  <c r="D43" i="3"/>
  <c r="E43" i="3"/>
  <c r="F43" i="3"/>
  <c r="G43" i="3"/>
  <c r="H43" i="3"/>
  <c r="I43" i="3"/>
  <c r="J43" i="3"/>
  <c r="K43" i="3"/>
  <c r="L43" i="3"/>
  <c r="M43" i="3"/>
  <c r="C44" i="3"/>
  <c r="D44" i="3"/>
  <c r="E44" i="3"/>
  <c r="F44" i="3"/>
  <c r="G44" i="3"/>
  <c r="H44" i="3"/>
  <c r="I44" i="3"/>
  <c r="J44" i="3"/>
  <c r="K44" i="3"/>
  <c r="L44" i="3"/>
  <c r="M44" i="3"/>
  <c r="C45" i="3"/>
  <c r="D45" i="3"/>
  <c r="E45" i="3"/>
  <c r="F45" i="3"/>
  <c r="G45" i="3"/>
  <c r="H45" i="3"/>
  <c r="I45" i="3"/>
  <c r="J45" i="3"/>
  <c r="K45" i="3"/>
  <c r="L45" i="3"/>
  <c r="M45" i="3"/>
  <c r="C46" i="3"/>
  <c r="D46" i="3"/>
  <c r="E46" i="3"/>
  <c r="F46" i="3"/>
  <c r="G46" i="3"/>
  <c r="H46" i="3"/>
  <c r="I46" i="3"/>
  <c r="J46" i="3"/>
  <c r="K46" i="3"/>
  <c r="L46" i="3"/>
  <c r="M46" i="3"/>
  <c r="C47" i="3"/>
  <c r="D47" i="3"/>
  <c r="E47" i="3"/>
  <c r="F47" i="3"/>
  <c r="G47" i="3"/>
  <c r="H47" i="3"/>
  <c r="I47" i="3"/>
  <c r="J47" i="3"/>
  <c r="K47" i="3"/>
  <c r="L47" i="3"/>
  <c r="M47" i="3"/>
  <c r="C48" i="3"/>
  <c r="D48" i="3"/>
  <c r="E48" i="3"/>
  <c r="F48" i="3"/>
  <c r="G48" i="3"/>
  <c r="H48" i="3"/>
  <c r="I48" i="3"/>
  <c r="J48" i="3"/>
  <c r="K48" i="3"/>
  <c r="L48" i="3"/>
  <c r="M48" i="3"/>
  <c r="B40" i="3"/>
  <c r="B41" i="3"/>
  <c r="B42" i="3"/>
  <c r="B43" i="3"/>
  <c r="B44" i="3"/>
  <c r="B45" i="3"/>
  <c r="B46" i="3"/>
  <c r="B47" i="3"/>
  <c r="B48" i="3"/>
  <c r="B39" i="3"/>
  <c r="L33" i="3"/>
  <c r="J30" i="3"/>
  <c r="G31" i="3"/>
  <c r="B30" i="3"/>
  <c r="C27" i="3"/>
  <c r="D27" i="3"/>
  <c r="E27" i="3"/>
  <c r="F27" i="3"/>
  <c r="G27" i="3"/>
  <c r="H27" i="3"/>
  <c r="I27" i="3"/>
  <c r="J27" i="3"/>
  <c r="K27" i="3"/>
  <c r="L27" i="3"/>
  <c r="M27" i="3"/>
  <c r="C28" i="3"/>
  <c r="D28" i="3"/>
  <c r="E28" i="3"/>
  <c r="F28" i="3"/>
  <c r="G28" i="3"/>
  <c r="H28" i="3"/>
  <c r="I28" i="3"/>
  <c r="J28" i="3"/>
  <c r="K28" i="3"/>
  <c r="L28" i="3"/>
  <c r="M28" i="3"/>
  <c r="C29" i="3"/>
  <c r="D29" i="3"/>
  <c r="E29" i="3"/>
  <c r="F29" i="3"/>
  <c r="G29" i="3"/>
  <c r="H29" i="3"/>
  <c r="I29" i="3"/>
  <c r="J29" i="3"/>
  <c r="K29" i="3"/>
  <c r="L29" i="3"/>
  <c r="M29" i="3"/>
  <c r="C30" i="3"/>
  <c r="D30" i="3"/>
  <c r="E30" i="3"/>
  <c r="F30" i="3"/>
  <c r="G30" i="3"/>
  <c r="H30" i="3"/>
  <c r="I30" i="3"/>
  <c r="K30" i="3"/>
  <c r="L30" i="3"/>
  <c r="M30" i="3"/>
  <c r="C31" i="3"/>
  <c r="D31" i="3"/>
  <c r="E31" i="3"/>
  <c r="F31" i="3"/>
  <c r="H31" i="3"/>
  <c r="I31" i="3"/>
  <c r="J31" i="3"/>
  <c r="K31" i="3"/>
  <c r="L31" i="3"/>
  <c r="M31" i="3"/>
  <c r="C32" i="3"/>
  <c r="D32" i="3"/>
  <c r="E32" i="3"/>
  <c r="F32" i="3"/>
  <c r="G32" i="3"/>
  <c r="H32" i="3"/>
  <c r="I32" i="3"/>
  <c r="J32" i="3"/>
  <c r="K32" i="3"/>
  <c r="L32" i="3"/>
  <c r="M32" i="3"/>
  <c r="C33" i="3"/>
  <c r="D33" i="3"/>
  <c r="E33" i="3"/>
  <c r="F33" i="3"/>
  <c r="G33" i="3"/>
  <c r="H33" i="3"/>
  <c r="I33" i="3"/>
  <c r="J33" i="3"/>
  <c r="K33" i="3"/>
  <c r="M33" i="3"/>
  <c r="C34" i="3"/>
  <c r="D34" i="3"/>
  <c r="E34" i="3"/>
  <c r="F34" i="3"/>
  <c r="G34" i="3"/>
  <c r="H34" i="3"/>
  <c r="I34" i="3"/>
  <c r="J34" i="3"/>
  <c r="K34" i="3"/>
  <c r="L34" i="3"/>
  <c r="M34" i="3"/>
  <c r="C35" i="3"/>
  <c r="D35" i="3"/>
  <c r="E35" i="3"/>
  <c r="F35" i="3"/>
  <c r="G35" i="3"/>
  <c r="H35" i="3"/>
  <c r="I35" i="3"/>
  <c r="J35" i="3"/>
  <c r="K35" i="3"/>
  <c r="L35" i="3"/>
  <c r="M35" i="3"/>
  <c r="C36" i="3"/>
  <c r="D36" i="3"/>
  <c r="E36" i="3"/>
  <c r="F36" i="3"/>
  <c r="G36" i="3"/>
  <c r="H36" i="3"/>
  <c r="I36" i="3"/>
  <c r="J36" i="3"/>
  <c r="K36" i="3"/>
  <c r="L36" i="3"/>
  <c r="M36" i="3"/>
  <c r="B28" i="3"/>
  <c r="B29" i="3"/>
  <c r="B31" i="3"/>
  <c r="B32" i="3"/>
  <c r="B33" i="3"/>
  <c r="B34" i="3"/>
  <c r="B35" i="3"/>
  <c r="B36" i="3"/>
  <c r="B27" i="3"/>
  <c r="M41" i="2"/>
  <c r="M42" i="2"/>
  <c r="L42" i="2"/>
  <c r="L41" i="2"/>
  <c r="K42" i="2"/>
  <c r="K41" i="2"/>
  <c r="E41" i="2"/>
  <c r="F41" i="2"/>
  <c r="G41" i="2"/>
  <c r="H41" i="2"/>
  <c r="I41" i="2"/>
  <c r="J41" i="2"/>
  <c r="E42" i="2"/>
  <c r="F42" i="2"/>
  <c r="G42" i="2"/>
  <c r="H42" i="2"/>
  <c r="I42" i="2"/>
  <c r="J42" i="2"/>
  <c r="D42" i="2"/>
  <c r="D41" i="2"/>
  <c r="C42" i="2"/>
  <c r="C41" i="2"/>
  <c r="B42" i="2"/>
  <c r="B41" i="2"/>
  <c r="B40" i="2"/>
  <c r="B39" i="2"/>
  <c r="C33" i="2"/>
  <c r="D33" i="2"/>
  <c r="E33" i="2"/>
  <c r="F33" i="2"/>
  <c r="G33" i="2"/>
  <c r="H33" i="2"/>
  <c r="I33" i="2"/>
  <c r="J33" i="2"/>
  <c r="K33" i="2"/>
  <c r="L33" i="2"/>
  <c r="M33" i="2"/>
  <c r="C34" i="2"/>
  <c r="D34" i="2"/>
  <c r="E34" i="2"/>
  <c r="F34" i="2"/>
  <c r="G34" i="2"/>
  <c r="H34" i="2"/>
  <c r="I34" i="2"/>
  <c r="J34" i="2"/>
  <c r="K34" i="2"/>
  <c r="L34" i="2"/>
  <c r="M34" i="2"/>
  <c r="C35" i="2"/>
  <c r="D35" i="2"/>
  <c r="E35" i="2"/>
  <c r="F35" i="2"/>
  <c r="G35" i="2"/>
  <c r="H35" i="2"/>
  <c r="I35" i="2"/>
  <c r="J35" i="2"/>
  <c r="K35" i="2"/>
  <c r="L35" i="2"/>
  <c r="M35" i="2"/>
  <c r="C36" i="2"/>
  <c r="D36" i="2"/>
  <c r="E36" i="2"/>
  <c r="F36" i="2"/>
  <c r="G36" i="2"/>
  <c r="H36" i="2"/>
  <c r="I36" i="2"/>
  <c r="J36" i="2"/>
  <c r="K36" i="2"/>
  <c r="L36" i="2"/>
  <c r="M36" i="2"/>
  <c r="C37" i="2"/>
  <c r="D37" i="2"/>
  <c r="E37" i="2"/>
  <c r="F37" i="2"/>
  <c r="G37" i="2"/>
  <c r="H37" i="2"/>
  <c r="I37" i="2"/>
  <c r="J37" i="2"/>
  <c r="K37" i="2"/>
  <c r="L37" i="2"/>
  <c r="M37" i="2"/>
  <c r="C38" i="2"/>
  <c r="D38" i="2"/>
  <c r="E38" i="2"/>
  <c r="F38" i="2"/>
  <c r="G38" i="2"/>
  <c r="H38" i="2"/>
  <c r="I38" i="2"/>
  <c r="J38" i="2"/>
  <c r="K38" i="2"/>
  <c r="L38" i="2"/>
  <c r="M38" i="2"/>
  <c r="C39" i="2"/>
  <c r="D39" i="2"/>
  <c r="E39" i="2"/>
  <c r="F39" i="2"/>
  <c r="G39" i="2"/>
  <c r="H39" i="2"/>
  <c r="I39" i="2"/>
  <c r="J39" i="2"/>
  <c r="K39" i="2"/>
  <c r="L39" i="2"/>
  <c r="M39" i="2"/>
  <c r="C40" i="2"/>
  <c r="D40" i="2"/>
  <c r="E40" i="2"/>
  <c r="F40" i="2"/>
  <c r="G40" i="2"/>
  <c r="H40" i="2"/>
  <c r="I40" i="2"/>
  <c r="J40" i="2"/>
  <c r="K40" i="2"/>
  <c r="L40" i="2"/>
  <c r="M40" i="2"/>
  <c r="B34" i="2"/>
  <c r="B35" i="2"/>
  <c r="B36" i="2"/>
  <c r="B37" i="2"/>
  <c r="B38" i="2"/>
  <c r="B33" i="2"/>
  <c r="B36" i="1"/>
  <c r="B45" i="1" s="1"/>
  <c r="C23" i="2"/>
  <c r="D23" i="2"/>
  <c r="E23" i="2"/>
  <c r="F23" i="2"/>
  <c r="G23" i="2"/>
  <c r="H23" i="2"/>
  <c r="I23" i="2"/>
  <c r="J23" i="2"/>
  <c r="K23" i="2"/>
  <c r="L23" i="2"/>
  <c r="M23" i="2"/>
  <c r="C24" i="2"/>
  <c r="D24" i="2"/>
  <c r="E24" i="2"/>
  <c r="F24" i="2"/>
  <c r="G24" i="2"/>
  <c r="H24" i="2"/>
  <c r="I24" i="2"/>
  <c r="J24" i="2"/>
  <c r="K24" i="2"/>
  <c r="L24" i="2"/>
  <c r="M24" i="2"/>
  <c r="C25" i="2"/>
  <c r="D25" i="2"/>
  <c r="E25" i="2"/>
  <c r="F25" i="2"/>
  <c r="G25" i="2"/>
  <c r="H25" i="2"/>
  <c r="I25" i="2"/>
  <c r="J25" i="2"/>
  <c r="K25" i="2"/>
  <c r="L25" i="2"/>
  <c r="M25" i="2"/>
  <c r="C26" i="2"/>
  <c r="D26" i="2"/>
  <c r="E26" i="2"/>
  <c r="F26" i="2"/>
  <c r="G26" i="2"/>
  <c r="H26" i="2"/>
  <c r="I26" i="2"/>
  <c r="J26" i="2"/>
  <c r="K26" i="2"/>
  <c r="L26" i="2"/>
  <c r="M26" i="2"/>
  <c r="C27" i="2"/>
  <c r="D27" i="2"/>
  <c r="E27" i="2"/>
  <c r="F27" i="2"/>
  <c r="G27" i="2"/>
  <c r="H27" i="2"/>
  <c r="I27" i="2"/>
  <c r="J27" i="2"/>
  <c r="K27" i="2"/>
  <c r="L27" i="2"/>
  <c r="M27" i="2"/>
  <c r="C28" i="2"/>
  <c r="D28" i="2"/>
  <c r="E28" i="2"/>
  <c r="F28" i="2"/>
  <c r="G28" i="2"/>
  <c r="H28" i="2"/>
  <c r="I28" i="2"/>
  <c r="J28" i="2"/>
  <c r="K28" i="2"/>
  <c r="L28" i="2"/>
  <c r="M28" i="2"/>
  <c r="C29" i="2"/>
  <c r="D29" i="2"/>
  <c r="E29" i="2"/>
  <c r="F29" i="2"/>
  <c r="G29" i="2"/>
  <c r="H29" i="2"/>
  <c r="I29" i="2"/>
  <c r="J29" i="2"/>
  <c r="K29" i="2"/>
  <c r="L29" i="2"/>
  <c r="M29" i="2"/>
  <c r="C30" i="2"/>
  <c r="D30" i="2"/>
  <c r="E30" i="2"/>
  <c r="F30" i="2"/>
  <c r="G30" i="2"/>
  <c r="H30" i="2"/>
  <c r="I30" i="2"/>
  <c r="J30" i="2"/>
  <c r="K30" i="2"/>
  <c r="L30" i="2"/>
  <c r="M30" i="2"/>
  <c r="B24" i="2"/>
  <c r="B25" i="2"/>
  <c r="B26" i="2"/>
  <c r="B27" i="2"/>
  <c r="B28" i="2"/>
  <c r="B29" i="2"/>
  <c r="B30" i="2"/>
  <c r="B23" i="2"/>
  <c r="C46" i="1"/>
  <c r="D46" i="1"/>
  <c r="E46" i="1"/>
  <c r="F46" i="1"/>
  <c r="G46" i="1"/>
  <c r="H46" i="1"/>
  <c r="I46" i="1"/>
  <c r="J46" i="1"/>
  <c r="K46" i="1"/>
  <c r="L46" i="1"/>
  <c r="M46" i="1"/>
  <c r="M45" i="1"/>
  <c r="K45" i="1"/>
  <c r="J45" i="1"/>
  <c r="I45" i="1"/>
  <c r="H45" i="1"/>
  <c r="G45" i="1"/>
  <c r="F45" i="1"/>
  <c r="E45" i="1"/>
  <c r="D45" i="1"/>
  <c r="L45" i="1"/>
  <c r="C45" i="1"/>
  <c r="D38" i="1"/>
  <c r="D39" i="1"/>
  <c r="E39" i="1"/>
  <c r="M39" i="1"/>
  <c r="C40" i="1"/>
  <c r="F40" i="1"/>
  <c r="F42" i="1"/>
  <c r="G42" i="1"/>
  <c r="B30" i="1"/>
  <c r="B41" i="1" s="1"/>
  <c r="B29" i="1"/>
  <c r="B40" i="1" s="1"/>
  <c r="B43" i="1"/>
  <c r="M25" i="1"/>
  <c r="M36" i="1" s="1"/>
  <c r="I29" i="1"/>
  <c r="I40" i="1" s="1"/>
  <c r="H27" i="1"/>
  <c r="H38" i="1" s="1"/>
  <c r="G28" i="1"/>
  <c r="G39" i="1" s="1"/>
  <c r="F30" i="1"/>
  <c r="F41" i="1" s="1"/>
  <c r="E29" i="1"/>
  <c r="E40" i="1" s="1"/>
  <c r="D28" i="1"/>
  <c r="M33" i="1"/>
  <c r="M44" i="1" s="1"/>
  <c r="L33" i="1"/>
  <c r="L44" i="1" s="1"/>
  <c r="K33" i="1"/>
  <c r="K44" i="1" s="1"/>
  <c r="J33" i="1"/>
  <c r="J44" i="1" s="1"/>
  <c r="I33" i="1"/>
  <c r="I44" i="1" s="1"/>
  <c r="H33" i="1"/>
  <c r="H44" i="1" s="1"/>
  <c r="G33" i="1"/>
  <c r="G44" i="1" s="1"/>
  <c r="F33" i="1"/>
  <c r="F44" i="1" s="1"/>
  <c r="E33" i="1"/>
  <c r="E44" i="1" s="1"/>
  <c r="D33" i="1"/>
  <c r="D44" i="1" s="1"/>
  <c r="C33" i="1"/>
  <c r="C44" i="1" s="1"/>
  <c r="M32" i="1"/>
  <c r="M43" i="1" s="1"/>
  <c r="L32" i="1"/>
  <c r="L43" i="1" s="1"/>
  <c r="K32" i="1"/>
  <c r="K43" i="1" s="1"/>
  <c r="J32" i="1"/>
  <c r="J43" i="1" s="1"/>
  <c r="I32" i="1"/>
  <c r="I43" i="1" s="1"/>
  <c r="H32" i="1"/>
  <c r="H43" i="1" s="1"/>
  <c r="G32" i="1"/>
  <c r="G43" i="1" s="1"/>
  <c r="F32" i="1"/>
  <c r="F43" i="1" s="1"/>
  <c r="E32" i="1"/>
  <c r="E43" i="1" s="1"/>
  <c r="D32" i="1"/>
  <c r="D43" i="1" s="1"/>
  <c r="C32" i="1"/>
  <c r="C43" i="1" s="1"/>
  <c r="M31" i="1"/>
  <c r="M42" i="1" s="1"/>
  <c r="L31" i="1"/>
  <c r="L42" i="1" s="1"/>
  <c r="K31" i="1"/>
  <c r="K42" i="1" s="1"/>
  <c r="J31" i="1"/>
  <c r="J42" i="1" s="1"/>
  <c r="I31" i="1"/>
  <c r="I42" i="1" s="1"/>
  <c r="H31" i="1"/>
  <c r="H42" i="1" s="1"/>
  <c r="G31" i="1"/>
  <c r="F31" i="1"/>
  <c r="E31" i="1"/>
  <c r="E42" i="1" s="1"/>
  <c r="D31" i="1"/>
  <c r="D42" i="1" s="1"/>
  <c r="C31" i="1"/>
  <c r="C42" i="1" s="1"/>
  <c r="M30" i="1"/>
  <c r="M41" i="1" s="1"/>
  <c r="L30" i="1"/>
  <c r="L41" i="1" s="1"/>
  <c r="K30" i="1"/>
  <c r="K41" i="1" s="1"/>
  <c r="J30" i="1"/>
  <c r="J41" i="1" s="1"/>
  <c r="I30" i="1"/>
  <c r="I41" i="1" s="1"/>
  <c r="H30" i="1"/>
  <c r="H41" i="1" s="1"/>
  <c r="G30" i="1"/>
  <c r="G41" i="1" s="1"/>
  <c r="E30" i="1"/>
  <c r="E41" i="1" s="1"/>
  <c r="D30" i="1"/>
  <c r="D41" i="1" s="1"/>
  <c r="C30" i="1"/>
  <c r="C41" i="1" s="1"/>
  <c r="M29" i="1"/>
  <c r="M40" i="1" s="1"/>
  <c r="L29" i="1"/>
  <c r="L40" i="1" s="1"/>
  <c r="K29" i="1"/>
  <c r="K40" i="1" s="1"/>
  <c r="J29" i="1"/>
  <c r="J40" i="1" s="1"/>
  <c r="H29" i="1"/>
  <c r="H40" i="1" s="1"/>
  <c r="G29" i="1"/>
  <c r="G40" i="1" s="1"/>
  <c r="F29" i="1"/>
  <c r="D29" i="1"/>
  <c r="D40" i="1" s="1"/>
  <c r="C29" i="1"/>
  <c r="M28" i="1"/>
  <c r="L28" i="1"/>
  <c r="L39" i="1" s="1"/>
  <c r="K28" i="1"/>
  <c r="K39" i="1" s="1"/>
  <c r="J28" i="1"/>
  <c r="J39" i="1" s="1"/>
  <c r="I28" i="1"/>
  <c r="I39" i="1" s="1"/>
  <c r="H28" i="1"/>
  <c r="H39" i="1" s="1"/>
  <c r="F28" i="1"/>
  <c r="F39" i="1" s="1"/>
  <c r="E28" i="1"/>
  <c r="C28" i="1"/>
  <c r="C39" i="1" s="1"/>
  <c r="M27" i="1"/>
  <c r="M38" i="1" s="1"/>
  <c r="L27" i="1"/>
  <c r="L38" i="1" s="1"/>
  <c r="K27" i="1"/>
  <c r="K38" i="1" s="1"/>
  <c r="J27" i="1"/>
  <c r="J38" i="1" s="1"/>
  <c r="I27" i="1"/>
  <c r="I38" i="1" s="1"/>
  <c r="G27" i="1"/>
  <c r="G38" i="1" s="1"/>
  <c r="F27" i="1"/>
  <c r="F38" i="1" s="1"/>
  <c r="E27" i="1"/>
  <c r="E38" i="1" s="1"/>
  <c r="D27" i="1"/>
  <c r="C27" i="1"/>
  <c r="C38" i="1" s="1"/>
  <c r="M26" i="1"/>
  <c r="M37" i="1" s="1"/>
  <c r="L26" i="1"/>
  <c r="L37" i="1" s="1"/>
  <c r="K26" i="1"/>
  <c r="K37" i="1" s="1"/>
  <c r="J26" i="1"/>
  <c r="J37" i="1" s="1"/>
  <c r="I26" i="1"/>
  <c r="I37" i="1" s="1"/>
  <c r="H26" i="1"/>
  <c r="H37" i="1" s="1"/>
  <c r="G26" i="1"/>
  <c r="G37" i="1" s="1"/>
  <c r="F26" i="1"/>
  <c r="F37" i="1" s="1"/>
  <c r="E26" i="1"/>
  <c r="E37" i="1" s="1"/>
  <c r="D26" i="1"/>
  <c r="D37" i="1" s="1"/>
  <c r="C26" i="1"/>
  <c r="C37" i="1" s="1"/>
  <c r="L25" i="1"/>
  <c r="L36" i="1" s="1"/>
  <c r="K25" i="1"/>
  <c r="K36" i="1" s="1"/>
  <c r="J25" i="1"/>
  <c r="J36" i="1" s="1"/>
  <c r="I25" i="1"/>
  <c r="I36" i="1" s="1"/>
  <c r="H25" i="1"/>
  <c r="H36" i="1" s="1"/>
  <c r="G25" i="1"/>
  <c r="G36" i="1" s="1"/>
  <c r="F25" i="1"/>
  <c r="F36" i="1" s="1"/>
  <c r="E25" i="1"/>
  <c r="E36" i="1" s="1"/>
  <c r="D25" i="1"/>
  <c r="D36" i="1" s="1"/>
  <c r="C25" i="1"/>
  <c r="C36" i="1" s="1"/>
  <c r="B26" i="1"/>
  <c r="B37" i="1" s="1"/>
  <c r="B27" i="1"/>
  <c r="B38" i="1" s="1"/>
  <c r="B28" i="1"/>
  <c r="B39" i="1" s="1"/>
  <c r="B31" i="1"/>
  <c r="B42" i="1" s="1"/>
  <c r="B32" i="1"/>
  <c r="B33" i="1"/>
  <c r="B44" i="1" s="1"/>
  <c r="B25" i="1"/>
  <c r="B46" i="1" l="1"/>
</calcChain>
</file>

<file path=xl/sharedStrings.xml><?xml version="1.0" encoding="utf-8"?>
<sst xmlns="http://schemas.openxmlformats.org/spreadsheetml/2006/main" count="280" uniqueCount="71">
  <si>
    <t>Region</t>
  </si>
  <si>
    <t>nodes</t>
  </si>
  <si>
    <t>VAD</t>
  </si>
  <si>
    <t>totalLength</t>
  </si>
  <si>
    <t>VLD_pct</t>
  </si>
  <si>
    <t>VLD_mminv</t>
  </si>
  <si>
    <t>MeanLength</t>
  </si>
  <si>
    <t>MedianLength</t>
  </si>
  <si>
    <t>MeanDiam</t>
  </si>
  <si>
    <t>MedianDiam</t>
  </si>
  <si>
    <t>BD</t>
  </si>
  <si>
    <t>FD</t>
  </si>
  <si>
    <t>mTort</t>
  </si>
  <si>
    <t>Supero-temporal</t>
  </si>
  <si>
    <t>Superior</t>
  </si>
  <si>
    <t>Supero-nasal</t>
  </si>
  <si>
    <t>Temporal</t>
  </si>
  <si>
    <t>Central</t>
  </si>
  <si>
    <t>Nasal</t>
  </si>
  <si>
    <t>Infero-temporal</t>
  </si>
  <si>
    <t>Inferior</t>
  </si>
  <si>
    <t>Infero-nasal</t>
  </si>
  <si>
    <t>Foveal circle</t>
  </si>
  <si>
    <t>Parafoveal rim</t>
  </si>
  <si>
    <t>Superior hemi-parafoveal rim</t>
  </si>
  <si>
    <t>Inferior hemi-parafoveal rim</t>
  </si>
  <si>
    <t>Nasal parafoveal rim</t>
  </si>
  <si>
    <t>Tempo parafoveal rim</t>
  </si>
  <si>
    <t>Superior parafoveal rim</t>
  </si>
  <si>
    <t>Inferior parafoveal rim</t>
  </si>
  <si>
    <t>Super nasal</t>
  </si>
  <si>
    <t>Nasal superior</t>
  </si>
  <si>
    <t>Temporal superior</t>
  </si>
  <si>
    <t>Super temporal</t>
  </si>
  <si>
    <t>Inferio temporal</t>
  </si>
  <si>
    <t>Temporal inferior</t>
  </si>
  <si>
    <t>Nasal inferior</t>
  </si>
  <si>
    <t>Inferio nasal</t>
  </si>
  <si>
    <t>Nasal wedge</t>
  </si>
  <si>
    <t>Temporal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</si>
  <si>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</si>
  <si>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</si>
  <si>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</si>
  <si>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</si>
  <si>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</si>
  <si>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</si>
  <si>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</si>
  <si>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</si>
  <si>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</si>
  <si>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</si>
  <si>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</si>
  <si>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</si>
  <si>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</si>
  <si>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</si>
  <si>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</si>
  <si>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</si>
  <si>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</si>
  <si>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</si>
  <si>
    <t>Python</t>
  </si>
  <si>
    <t>Matlab</t>
  </si>
  <si>
    <t>Difference</t>
  </si>
  <si>
    <t>Relative Error</t>
  </si>
  <si>
    <t>Average</t>
  </si>
  <si>
    <t>Max</t>
  </si>
  <si>
    <t xml:space="preserve">Parafoveal rim </t>
  </si>
  <si>
    <t>average</t>
  </si>
  <si>
    <t>max</t>
  </si>
  <si>
    <t>avg</t>
  </si>
  <si>
    <t>I_Hemi</t>
  </si>
  <si>
    <t>ave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</si>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</sst>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72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horizontal="center"/>
    </xf>
    <xf numFmtId="10" fontId="0" fillId="0" borderId="0" xfId="1" applyNumberFormat="1" applyFont="1"/>
    <xf numFmtId="10" fontId="0" fillId="0" borderId="0" xfId="0" applyNumberFormat="1"/>
    <xf numFmtId="0" fontId="1" fillId="0" borderId="0" xfId="0" applyFont="1" applyBorder="1" applyAlignment="1">
      <alignment horizontal="center" vertical="top"/>
    </xf>
    <xf numFmtId="0" fontId="0" fillId="2" borderId="0" xfId="0" applyFill="1"/>
    <xf numFmtId="164" fontId="0" fillId="0" borderId="0" xfId="1" applyNumberFormat="1" applyFont="1"/>
    <xf numFmtId="0" fontId="3" fillId="0" borderId="0" xfId="0" applyFont="1" applyAlignment="1">
      <alignment horizontal="right"/>
    </xf>
    <xf numFmtId="164" fontId="0" fillId="0" borderId="0" xfId="0" applyNumberFormat="1"/>
    <xf numFmtId="172" fontId="0" fillId="0" borderId="0" xfId="1" applyNumberFormat="1" applyFont="1"/>
    <xf numFmtId="172" fontId="0" fillId="2" borderId="0" xfId="1" applyNumberFormat="1" applyFont="1" applyFill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topLeftCell="A2" zoomScale="115" workbookViewId="0">
      <selection activeCell="K48" sqref="K48"/>
    </sheetView>
  </sheetViews>
  <sheetFormatPr baseColWidth="10" defaultColWidth="8.83203125" defaultRowHeight="15" x14ac:dyDescent="0.2"/>
  <cols>
    <col min="1" max="1" width="14" bestFit="1" customWidth="1"/>
    <col min="2" max="2" width="6.5" bestFit="1" customWidth="1"/>
    <col min="3" max="3" width="6.1640625" bestFit="1" customWidth="1"/>
    <col min="4" max="4" width="10.1640625" bestFit="1" customWidth="1"/>
    <col min="5" max="5" width="7.6640625" bestFit="1" customWidth="1"/>
    <col min="6" max="6" width="10.5" bestFit="1" customWidth="1"/>
    <col min="7" max="7" width="11" bestFit="1" customWidth="1"/>
    <col min="8" max="8" width="12.5" bestFit="1" customWidth="1"/>
    <col min="9" max="9" width="9.6640625" bestFit="1" customWidth="1"/>
    <col min="10" max="10" width="11.1640625" bestFit="1" customWidth="1"/>
    <col min="11" max="11" width="6" bestFit="1" customWidth="1"/>
    <col min="12" max="12" width="7.6640625" bestFit="1" customWidth="1"/>
    <col min="13" max="13" width="7.1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t="s">
        <v>13</v>
      </c>
      <c r="B3">
        <v>111</v>
      </c>
      <c r="C3">
        <v>33.92</v>
      </c>
      <c r="D3">
        <v>33.29</v>
      </c>
      <c r="E3">
        <v>6</v>
      </c>
      <c r="F3">
        <v>12.007199999999999</v>
      </c>
      <c r="G3">
        <v>118</v>
      </c>
      <c r="H3">
        <v>86</v>
      </c>
      <c r="I3">
        <v>31</v>
      </c>
      <c r="J3">
        <v>30</v>
      </c>
      <c r="K3">
        <v>3.33</v>
      </c>
      <c r="L3">
        <v>1.4278</v>
      </c>
      <c r="M3">
        <v>1.2161999999999999</v>
      </c>
    </row>
    <row r="4" spans="1:13" x14ac:dyDescent="0.2">
      <c r="A4" t="s">
        <v>14</v>
      </c>
      <c r="B4">
        <v>160</v>
      </c>
      <c r="C4">
        <v>36.44</v>
      </c>
      <c r="D4">
        <v>37.96</v>
      </c>
      <c r="E4">
        <v>6.8500000000000014</v>
      </c>
      <c r="F4">
        <v>13.693300000000001</v>
      </c>
      <c r="G4">
        <v>106</v>
      </c>
      <c r="H4">
        <v>82</v>
      </c>
      <c r="I4">
        <v>29</v>
      </c>
      <c r="J4">
        <v>28</v>
      </c>
      <c r="K4">
        <v>4.21</v>
      </c>
      <c r="L4">
        <v>1.4536</v>
      </c>
      <c r="M4">
        <v>1.1619999999999999</v>
      </c>
    </row>
    <row r="5" spans="1:13" x14ac:dyDescent="0.2">
      <c r="A5" t="s">
        <v>15</v>
      </c>
      <c r="B5">
        <v>111</v>
      </c>
      <c r="C5">
        <v>34.159999999999997</v>
      </c>
      <c r="D5">
        <v>32.700000000000003</v>
      </c>
      <c r="E5">
        <v>5.8999999999999986</v>
      </c>
      <c r="F5">
        <v>11.7958</v>
      </c>
      <c r="G5">
        <v>119</v>
      </c>
      <c r="H5">
        <v>93</v>
      </c>
      <c r="I5">
        <v>31</v>
      </c>
      <c r="J5">
        <v>30</v>
      </c>
      <c r="K5">
        <v>3.39</v>
      </c>
      <c r="L5">
        <v>1.4244000000000001</v>
      </c>
      <c r="M5">
        <v>1.2128000000000001</v>
      </c>
    </row>
    <row r="6" spans="1:13" x14ac:dyDescent="0.2">
      <c r="A6" t="s">
        <v>16</v>
      </c>
      <c r="B6">
        <v>122</v>
      </c>
      <c r="C6">
        <v>35.32</v>
      </c>
      <c r="D6">
        <v>35.36</v>
      </c>
      <c r="E6">
        <v>6.38</v>
      </c>
      <c r="F6">
        <v>12.756399999999999</v>
      </c>
      <c r="G6">
        <v>121</v>
      </c>
      <c r="H6">
        <v>96</v>
      </c>
      <c r="I6">
        <v>29</v>
      </c>
      <c r="J6">
        <v>28</v>
      </c>
      <c r="K6">
        <v>3.45</v>
      </c>
      <c r="L6">
        <v>1.4391</v>
      </c>
      <c r="M6">
        <v>1.1935</v>
      </c>
    </row>
    <row r="7" spans="1:13" x14ac:dyDescent="0.2">
      <c r="A7" t="s">
        <v>17</v>
      </c>
      <c r="B7">
        <v>74</v>
      </c>
      <c r="C7">
        <v>25.31</v>
      </c>
      <c r="D7">
        <v>24.71</v>
      </c>
      <c r="E7">
        <v>4.46</v>
      </c>
      <c r="F7">
        <v>8.9148999999999994</v>
      </c>
      <c r="G7">
        <v>134</v>
      </c>
      <c r="H7">
        <v>94</v>
      </c>
      <c r="I7">
        <v>30</v>
      </c>
      <c r="J7">
        <v>30</v>
      </c>
      <c r="K7">
        <v>2.99</v>
      </c>
      <c r="L7">
        <v>1.3648</v>
      </c>
      <c r="M7">
        <v>1.1956</v>
      </c>
    </row>
    <row r="8" spans="1:13" x14ac:dyDescent="0.2">
      <c r="A8" t="s">
        <v>18</v>
      </c>
      <c r="B8">
        <v>169</v>
      </c>
      <c r="C8">
        <v>36.42</v>
      </c>
      <c r="D8">
        <v>37.47</v>
      </c>
      <c r="E8">
        <v>6.76</v>
      </c>
      <c r="F8">
        <v>13.5146</v>
      </c>
      <c r="G8">
        <v>105</v>
      </c>
      <c r="H8">
        <v>84</v>
      </c>
      <c r="I8">
        <v>29</v>
      </c>
      <c r="J8">
        <v>30</v>
      </c>
      <c r="K8">
        <v>4.51</v>
      </c>
      <c r="L8">
        <v>1.4494</v>
      </c>
      <c r="M8">
        <v>1.1580999999999999</v>
      </c>
    </row>
    <row r="9" spans="1:13" x14ac:dyDescent="0.2">
      <c r="A9" t="s">
        <v>19</v>
      </c>
      <c r="B9">
        <v>113</v>
      </c>
      <c r="C9">
        <v>32.44</v>
      </c>
      <c r="D9">
        <v>33.61</v>
      </c>
      <c r="E9">
        <v>6.06</v>
      </c>
      <c r="F9">
        <v>12.125500000000001</v>
      </c>
      <c r="G9">
        <v>118</v>
      </c>
      <c r="H9">
        <v>89</v>
      </c>
      <c r="I9">
        <v>28</v>
      </c>
      <c r="J9">
        <v>28</v>
      </c>
      <c r="K9">
        <v>3.36</v>
      </c>
      <c r="L9">
        <v>1.4309000000000001</v>
      </c>
      <c r="M9">
        <v>1.1999</v>
      </c>
    </row>
    <row r="10" spans="1:13" x14ac:dyDescent="0.2">
      <c r="A10" t="s">
        <v>20</v>
      </c>
      <c r="B10">
        <v>159</v>
      </c>
      <c r="C10">
        <v>36.03</v>
      </c>
      <c r="D10">
        <v>37.17</v>
      </c>
      <c r="E10">
        <v>6.7</v>
      </c>
      <c r="F10">
        <v>13.4078</v>
      </c>
      <c r="G10">
        <v>109</v>
      </c>
      <c r="H10">
        <v>87</v>
      </c>
      <c r="I10">
        <v>29</v>
      </c>
      <c r="J10">
        <v>28</v>
      </c>
      <c r="K10">
        <v>4.28</v>
      </c>
      <c r="L10">
        <v>1.4500999999999999</v>
      </c>
      <c r="M10">
        <v>1.1870000000000001</v>
      </c>
    </row>
    <row r="11" spans="1:13" x14ac:dyDescent="0.2">
      <c r="A11" t="s">
        <v>21</v>
      </c>
      <c r="B11">
        <v>128</v>
      </c>
      <c r="C11">
        <v>34.03</v>
      </c>
      <c r="D11">
        <v>35.1</v>
      </c>
      <c r="E11">
        <v>6.3299999999999992</v>
      </c>
      <c r="F11">
        <v>12.6624</v>
      </c>
      <c r="G11">
        <v>112</v>
      </c>
      <c r="H11">
        <v>86</v>
      </c>
      <c r="I11">
        <v>29</v>
      </c>
      <c r="J11">
        <v>28</v>
      </c>
      <c r="K11">
        <v>3.65</v>
      </c>
      <c r="L11">
        <v>1.4392</v>
      </c>
      <c r="M11">
        <v>1.1649</v>
      </c>
    </row>
    <row r="13" spans="1:13" x14ac:dyDescent="0.2">
      <c r="A13" s="4" t="s">
        <v>59</v>
      </c>
    </row>
    <row r="14" spans="1:13" x14ac:dyDescent="0.2">
      <c r="A14" t="s">
        <v>13</v>
      </c>
      <c r="B14">
        <v>113</v>
      </c>
      <c r="C14">
        <v>33.92</v>
      </c>
      <c r="D14">
        <v>32.159999999999997</v>
      </c>
      <c r="E14">
        <v>5.8000000000000007</v>
      </c>
      <c r="F14">
        <v>11.6008</v>
      </c>
      <c r="G14">
        <v>113</v>
      </c>
      <c r="H14">
        <v>86</v>
      </c>
      <c r="I14">
        <v>29</v>
      </c>
      <c r="J14">
        <v>27</v>
      </c>
      <c r="K14">
        <v>3.51</v>
      </c>
      <c r="L14">
        <v>1.4274</v>
      </c>
      <c r="M14">
        <v>1.1726000000000001</v>
      </c>
    </row>
    <row r="15" spans="1:13" x14ac:dyDescent="0.2">
      <c r="A15" t="s">
        <v>14</v>
      </c>
      <c r="B15">
        <v>160</v>
      </c>
      <c r="C15">
        <v>36.44</v>
      </c>
      <c r="D15">
        <v>36.72</v>
      </c>
      <c r="E15">
        <v>6.6199999999999992</v>
      </c>
      <c r="F15">
        <v>13.245699999999999</v>
      </c>
      <c r="G15">
        <v>105</v>
      </c>
      <c r="H15">
        <v>78</v>
      </c>
      <c r="I15">
        <v>27</v>
      </c>
      <c r="J15">
        <v>26</v>
      </c>
      <c r="K15">
        <v>4.3600000000000003</v>
      </c>
      <c r="L15">
        <v>1.4523999999999999</v>
      </c>
      <c r="M15">
        <v>1.1422000000000001</v>
      </c>
    </row>
    <row r="16" spans="1:13" x14ac:dyDescent="0.2">
      <c r="A16" t="s">
        <v>15</v>
      </c>
      <c r="B16">
        <v>109</v>
      </c>
      <c r="C16">
        <v>34.160000000000004</v>
      </c>
      <c r="D16">
        <v>31.94</v>
      </c>
      <c r="E16">
        <v>5.76</v>
      </c>
      <c r="F16">
        <v>11.5214</v>
      </c>
      <c r="G16">
        <v>116</v>
      </c>
      <c r="H16">
        <v>88</v>
      </c>
      <c r="I16">
        <v>28</v>
      </c>
      <c r="J16">
        <v>27</v>
      </c>
      <c r="K16">
        <v>3.41</v>
      </c>
      <c r="L16">
        <v>1.4288000000000001</v>
      </c>
      <c r="M16">
        <v>1.1981999999999999</v>
      </c>
    </row>
    <row r="17" spans="1:13" x14ac:dyDescent="0.2">
      <c r="A17" t="s">
        <v>16</v>
      </c>
      <c r="B17">
        <v>121</v>
      </c>
      <c r="C17">
        <v>35.32</v>
      </c>
      <c r="D17">
        <v>35.14</v>
      </c>
      <c r="E17">
        <v>6.34</v>
      </c>
      <c r="F17">
        <v>12.675700000000001</v>
      </c>
      <c r="G17">
        <v>120</v>
      </c>
      <c r="H17">
        <v>94</v>
      </c>
      <c r="I17">
        <v>27</v>
      </c>
      <c r="J17">
        <v>26</v>
      </c>
      <c r="K17">
        <v>3.44</v>
      </c>
      <c r="L17">
        <v>1.4442999999999999</v>
      </c>
      <c r="M17">
        <v>1.1724000000000001</v>
      </c>
    </row>
    <row r="18" spans="1:13" x14ac:dyDescent="0.2">
      <c r="A18" t="s">
        <v>17</v>
      </c>
      <c r="B18">
        <v>76</v>
      </c>
      <c r="C18">
        <v>25.31</v>
      </c>
      <c r="D18">
        <v>24.34</v>
      </c>
      <c r="E18">
        <v>4.3900000000000006</v>
      </c>
      <c r="F18">
        <v>8.7799999999999994</v>
      </c>
      <c r="G18">
        <v>129</v>
      </c>
      <c r="H18">
        <v>89</v>
      </c>
      <c r="I18">
        <v>27</v>
      </c>
      <c r="J18">
        <v>28</v>
      </c>
      <c r="K18">
        <v>3.12</v>
      </c>
      <c r="L18">
        <v>1.3667</v>
      </c>
      <c r="M18">
        <v>1.1606000000000001</v>
      </c>
    </row>
    <row r="19" spans="1:13" x14ac:dyDescent="0.2">
      <c r="A19" t="s">
        <v>18</v>
      </c>
      <c r="B19">
        <v>171</v>
      </c>
      <c r="C19">
        <v>36.42</v>
      </c>
      <c r="D19">
        <v>37</v>
      </c>
      <c r="E19">
        <v>6.67</v>
      </c>
      <c r="F19">
        <v>13.3467</v>
      </c>
      <c r="G19">
        <v>101</v>
      </c>
      <c r="H19">
        <v>84</v>
      </c>
      <c r="I19">
        <v>27</v>
      </c>
      <c r="J19">
        <v>27</v>
      </c>
      <c r="K19">
        <v>4.62</v>
      </c>
      <c r="L19">
        <v>1.4556</v>
      </c>
      <c r="M19">
        <v>1.1295999999999999</v>
      </c>
    </row>
    <row r="20" spans="1:13" x14ac:dyDescent="0.2">
      <c r="A20" t="s">
        <v>19</v>
      </c>
      <c r="B20">
        <v>116</v>
      </c>
      <c r="C20">
        <v>32.440000000000005</v>
      </c>
      <c r="D20">
        <v>33.24</v>
      </c>
      <c r="E20">
        <v>6</v>
      </c>
      <c r="F20">
        <v>11.990399999999999</v>
      </c>
      <c r="G20">
        <v>113</v>
      </c>
      <c r="H20">
        <v>87</v>
      </c>
      <c r="I20">
        <v>26</v>
      </c>
      <c r="J20">
        <v>25</v>
      </c>
      <c r="K20">
        <v>3.49</v>
      </c>
      <c r="L20">
        <v>1.4363999999999999</v>
      </c>
      <c r="M20">
        <v>1.1889000000000001</v>
      </c>
    </row>
    <row r="21" spans="1:13" x14ac:dyDescent="0.2">
      <c r="A21" t="s">
        <v>20</v>
      </c>
      <c r="B21">
        <v>155</v>
      </c>
      <c r="C21">
        <v>36.03</v>
      </c>
      <c r="D21">
        <v>35.979999999999997</v>
      </c>
      <c r="E21">
        <v>6.49</v>
      </c>
      <c r="F21">
        <v>12.9787</v>
      </c>
      <c r="G21">
        <v>108</v>
      </c>
      <c r="H21">
        <v>89</v>
      </c>
      <c r="I21">
        <v>28</v>
      </c>
      <c r="J21">
        <v>26</v>
      </c>
      <c r="K21">
        <v>4.3099999999999996</v>
      </c>
      <c r="L21">
        <v>1.4493</v>
      </c>
      <c r="M21">
        <v>1.1560999999999999</v>
      </c>
    </row>
    <row r="22" spans="1:13" x14ac:dyDescent="0.2">
      <c r="A22" t="s">
        <v>21</v>
      </c>
      <c r="B22">
        <v>130</v>
      </c>
      <c r="C22">
        <v>34.03</v>
      </c>
      <c r="D22">
        <v>36.44</v>
      </c>
      <c r="E22">
        <v>6.5699999999999994</v>
      </c>
      <c r="F22">
        <v>13.1447</v>
      </c>
      <c r="G22">
        <v>114</v>
      </c>
      <c r="H22">
        <v>87</v>
      </c>
      <c r="I22">
        <v>27</v>
      </c>
      <c r="J22">
        <v>26</v>
      </c>
      <c r="K22">
        <v>3.57</v>
      </c>
      <c r="L22">
        <v>1.4428000000000001</v>
      </c>
      <c r="M22">
        <v>1.1531</v>
      </c>
    </row>
    <row r="24" spans="1:13" x14ac:dyDescent="0.2">
      <c r="A24" s="4" t="s">
        <v>60</v>
      </c>
    </row>
    <row r="25" spans="1:13" x14ac:dyDescent="0.2">
      <c r="A25" t="s">
        <v>13</v>
      </c>
      <c r="B25">
        <f>B3-B14</f>
        <v>-2</v>
      </c>
      <c r="C25">
        <f t="shared" ref="C25:L25" si="0">C3-C14</f>
        <v>0</v>
      </c>
      <c r="D25">
        <f t="shared" si="0"/>
        <v>1.1300000000000026</v>
      </c>
      <c r="E25">
        <f t="shared" si="0"/>
        <v>0.19999999999999929</v>
      </c>
      <c r="F25">
        <f t="shared" si="0"/>
        <v>0.40639999999999965</v>
      </c>
      <c r="G25">
        <f t="shared" si="0"/>
        <v>5</v>
      </c>
      <c r="H25">
        <f t="shared" si="0"/>
        <v>0</v>
      </c>
      <c r="I25">
        <f t="shared" si="0"/>
        <v>2</v>
      </c>
      <c r="J25">
        <f t="shared" si="0"/>
        <v>3</v>
      </c>
      <c r="K25">
        <f t="shared" si="0"/>
        <v>-0.17999999999999972</v>
      </c>
      <c r="L25">
        <f t="shared" si="0"/>
        <v>3.9999999999995595E-4</v>
      </c>
      <c r="M25">
        <f>M3-M14</f>
        <v>4.3599999999999861E-2</v>
      </c>
    </row>
    <row r="26" spans="1:13" x14ac:dyDescent="0.2">
      <c r="A26" t="s">
        <v>14</v>
      </c>
      <c r="B26">
        <f t="shared" ref="B26:M33" si="1">B4-B15</f>
        <v>0</v>
      </c>
      <c r="C26">
        <f t="shared" si="1"/>
        <v>0</v>
      </c>
      <c r="D26">
        <f t="shared" si="1"/>
        <v>1.240000000000002</v>
      </c>
      <c r="E26">
        <f t="shared" si="1"/>
        <v>0.2300000000000022</v>
      </c>
      <c r="F26">
        <f t="shared" si="1"/>
        <v>0.44760000000000133</v>
      </c>
      <c r="G26">
        <f t="shared" si="1"/>
        <v>1</v>
      </c>
      <c r="H26">
        <f t="shared" si="1"/>
        <v>4</v>
      </c>
      <c r="I26">
        <f t="shared" si="1"/>
        <v>2</v>
      </c>
      <c r="J26">
        <f t="shared" si="1"/>
        <v>2</v>
      </c>
      <c r="K26">
        <f t="shared" si="1"/>
        <v>-0.15000000000000036</v>
      </c>
      <c r="L26">
        <f t="shared" si="1"/>
        <v>1.2000000000000899E-3</v>
      </c>
      <c r="M26">
        <f t="shared" si="1"/>
        <v>1.9799999999999818E-2</v>
      </c>
    </row>
    <row r="27" spans="1:13" x14ac:dyDescent="0.2">
      <c r="A27" t="s">
        <v>15</v>
      </c>
      <c r="B27">
        <f t="shared" si="1"/>
        <v>2</v>
      </c>
      <c r="C27">
        <f t="shared" si="1"/>
        <v>0</v>
      </c>
      <c r="D27">
        <f t="shared" si="1"/>
        <v>0.76000000000000156</v>
      </c>
      <c r="E27">
        <f t="shared" si="1"/>
        <v>0.13999999999999879</v>
      </c>
      <c r="F27">
        <f t="shared" si="1"/>
        <v>0.27439999999999998</v>
      </c>
      <c r="G27">
        <f t="shared" si="1"/>
        <v>3</v>
      </c>
      <c r="H27">
        <f>H5-H16</f>
        <v>5</v>
      </c>
      <c r="I27">
        <f t="shared" si="1"/>
        <v>3</v>
      </c>
      <c r="J27">
        <f t="shared" si="1"/>
        <v>3</v>
      </c>
      <c r="K27">
        <f t="shared" si="1"/>
        <v>-2.0000000000000018E-2</v>
      </c>
      <c r="L27">
        <f t="shared" si="1"/>
        <v>-4.3999999999999595E-3</v>
      </c>
      <c r="M27">
        <f t="shared" si="1"/>
        <v>1.4600000000000168E-2</v>
      </c>
    </row>
    <row r="28" spans="1:13" x14ac:dyDescent="0.2">
      <c r="A28" t="s">
        <v>16</v>
      </c>
      <c r="B28">
        <f t="shared" si="1"/>
        <v>1</v>
      </c>
      <c r="C28">
        <f t="shared" si="1"/>
        <v>0</v>
      </c>
      <c r="D28">
        <f>D6-D17</f>
        <v>0.21999999999999886</v>
      </c>
      <c r="E28">
        <f t="shared" si="1"/>
        <v>4.0000000000000036E-2</v>
      </c>
      <c r="F28">
        <f t="shared" si="1"/>
        <v>8.069999999999844E-2</v>
      </c>
      <c r="G28">
        <f>G6-G17</f>
        <v>1</v>
      </c>
      <c r="H28">
        <f t="shared" si="1"/>
        <v>2</v>
      </c>
      <c r="I28">
        <f t="shared" si="1"/>
        <v>2</v>
      </c>
      <c r="J28">
        <f t="shared" si="1"/>
        <v>2</v>
      </c>
      <c r="K28">
        <f t="shared" si="1"/>
        <v>1.0000000000000231E-2</v>
      </c>
      <c r="L28">
        <f t="shared" si="1"/>
        <v>-5.1999999999998714E-3</v>
      </c>
      <c r="M28">
        <f t="shared" si="1"/>
        <v>2.1099999999999897E-2</v>
      </c>
    </row>
    <row r="29" spans="1:13" x14ac:dyDescent="0.2">
      <c r="A29" t="s">
        <v>17</v>
      </c>
      <c r="B29">
        <f>B7-B18</f>
        <v>-2</v>
      </c>
      <c r="C29">
        <f t="shared" si="1"/>
        <v>0</v>
      </c>
      <c r="D29">
        <f t="shared" si="1"/>
        <v>0.37000000000000099</v>
      </c>
      <c r="E29">
        <f>E7-E18</f>
        <v>6.9999999999999396E-2</v>
      </c>
      <c r="F29">
        <f t="shared" si="1"/>
        <v>0.13490000000000002</v>
      </c>
      <c r="G29">
        <f t="shared" si="1"/>
        <v>5</v>
      </c>
      <c r="H29">
        <f t="shared" si="1"/>
        <v>5</v>
      </c>
      <c r="I29">
        <f>I7-I18</f>
        <v>3</v>
      </c>
      <c r="J29">
        <f t="shared" si="1"/>
        <v>2</v>
      </c>
      <c r="K29">
        <f t="shared" si="1"/>
        <v>-0.12999999999999989</v>
      </c>
      <c r="L29">
        <f t="shared" si="1"/>
        <v>-1.9000000000000128E-3</v>
      </c>
      <c r="M29">
        <f t="shared" si="1"/>
        <v>3.499999999999992E-2</v>
      </c>
    </row>
    <row r="30" spans="1:13" x14ac:dyDescent="0.2">
      <c r="A30" t="s">
        <v>18</v>
      </c>
      <c r="B30">
        <f>B8-B19</f>
        <v>-2</v>
      </c>
      <c r="C30">
        <f t="shared" si="1"/>
        <v>0</v>
      </c>
      <c r="D30">
        <f t="shared" si="1"/>
        <v>0.46999999999999886</v>
      </c>
      <c r="E30">
        <f t="shared" si="1"/>
        <v>8.9999999999999858E-2</v>
      </c>
      <c r="F30">
        <f>F8-F19</f>
        <v>0.16789999999999949</v>
      </c>
      <c r="G30">
        <f t="shared" si="1"/>
        <v>4</v>
      </c>
      <c r="H30">
        <f t="shared" si="1"/>
        <v>0</v>
      </c>
      <c r="I30">
        <f t="shared" si="1"/>
        <v>2</v>
      </c>
      <c r="J30">
        <f t="shared" si="1"/>
        <v>3</v>
      </c>
      <c r="K30">
        <f t="shared" si="1"/>
        <v>-0.11000000000000032</v>
      </c>
      <c r="L30">
        <f t="shared" si="1"/>
        <v>-6.1999999999999833E-3</v>
      </c>
      <c r="M30">
        <f t="shared" si="1"/>
        <v>2.849999999999997E-2</v>
      </c>
    </row>
    <row r="31" spans="1:13" x14ac:dyDescent="0.2">
      <c r="A31" t="s">
        <v>19</v>
      </c>
      <c r="B31">
        <f t="shared" si="1"/>
        <v>-3</v>
      </c>
      <c r="C31">
        <f t="shared" si="1"/>
        <v>0</v>
      </c>
      <c r="D31">
        <f t="shared" si="1"/>
        <v>0.36999999999999744</v>
      </c>
      <c r="E31">
        <f t="shared" si="1"/>
        <v>5.9999999999999609E-2</v>
      </c>
      <c r="F31">
        <f t="shared" si="1"/>
        <v>0.13510000000000133</v>
      </c>
      <c r="G31">
        <f t="shared" si="1"/>
        <v>5</v>
      </c>
      <c r="H31">
        <f t="shared" si="1"/>
        <v>2</v>
      </c>
      <c r="I31">
        <f t="shared" si="1"/>
        <v>2</v>
      </c>
      <c r="J31">
        <f t="shared" si="1"/>
        <v>3</v>
      </c>
      <c r="K31">
        <f t="shared" si="1"/>
        <v>-0.13000000000000034</v>
      </c>
      <c r="L31">
        <f t="shared" si="1"/>
        <v>-5.4999999999998384E-3</v>
      </c>
      <c r="M31">
        <f t="shared" si="1"/>
        <v>1.0999999999999899E-2</v>
      </c>
    </row>
    <row r="32" spans="1:13" x14ac:dyDescent="0.2">
      <c r="A32" t="s">
        <v>20</v>
      </c>
      <c r="B32">
        <f t="shared" si="1"/>
        <v>4</v>
      </c>
      <c r="C32">
        <f t="shared" si="1"/>
        <v>0</v>
      </c>
      <c r="D32">
        <f t="shared" si="1"/>
        <v>1.1900000000000048</v>
      </c>
      <c r="E32">
        <f t="shared" si="1"/>
        <v>0.20999999999999996</v>
      </c>
      <c r="F32">
        <f t="shared" si="1"/>
        <v>0.42910000000000004</v>
      </c>
      <c r="G32">
        <f t="shared" si="1"/>
        <v>1</v>
      </c>
      <c r="H32">
        <f t="shared" si="1"/>
        <v>-2</v>
      </c>
      <c r="I32">
        <f t="shared" si="1"/>
        <v>1</v>
      </c>
      <c r="J32">
        <f t="shared" si="1"/>
        <v>2</v>
      </c>
      <c r="K32">
        <f t="shared" si="1"/>
        <v>-2.9999999999999361E-2</v>
      </c>
      <c r="L32">
        <f t="shared" si="1"/>
        <v>7.9999999999991189E-4</v>
      </c>
      <c r="M32">
        <f t="shared" si="1"/>
        <v>3.090000000000015E-2</v>
      </c>
    </row>
    <row r="33" spans="1:13" x14ac:dyDescent="0.2">
      <c r="A33" t="s">
        <v>21</v>
      </c>
      <c r="B33">
        <f t="shared" si="1"/>
        <v>-2</v>
      </c>
      <c r="C33">
        <f t="shared" si="1"/>
        <v>0</v>
      </c>
      <c r="D33">
        <f t="shared" si="1"/>
        <v>-1.3399999999999963</v>
      </c>
      <c r="E33">
        <f t="shared" si="1"/>
        <v>-0.24000000000000021</v>
      </c>
      <c r="F33">
        <f t="shared" si="1"/>
        <v>-0.4823000000000004</v>
      </c>
      <c r="G33">
        <f t="shared" si="1"/>
        <v>-2</v>
      </c>
      <c r="H33">
        <f t="shared" si="1"/>
        <v>-1</v>
      </c>
      <c r="I33">
        <f t="shared" si="1"/>
        <v>2</v>
      </c>
      <c r="J33">
        <f t="shared" si="1"/>
        <v>2</v>
      </c>
      <c r="K33">
        <f t="shared" si="1"/>
        <v>8.0000000000000071E-2</v>
      </c>
      <c r="L33">
        <f t="shared" si="1"/>
        <v>-3.6000000000000476E-3</v>
      </c>
      <c r="M33">
        <f t="shared" si="1"/>
        <v>1.1800000000000033E-2</v>
      </c>
    </row>
    <row r="35" spans="1:13" x14ac:dyDescent="0.2">
      <c r="A35" s="3" t="s">
        <v>61</v>
      </c>
    </row>
    <row r="36" spans="1:13" x14ac:dyDescent="0.2">
      <c r="A36" t="s">
        <v>13</v>
      </c>
      <c r="B36" s="5">
        <f>ABS(B25)/B14</f>
        <v>1.7699115044247787E-2</v>
      </c>
      <c r="C36" s="5">
        <f t="shared" ref="B36:M36" si="2">ABS(C25)/C14</f>
        <v>0</v>
      </c>
      <c r="D36" s="5">
        <f t="shared" si="2"/>
        <v>3.5136815920398093E-2</v>
      </c>
      <c r="E36" s="5">
        <f t="shared" si="2"/>
        <v>3.448275862068953E-2</v>
      </c>
      <c r="F36" s="5">
        <f t="shared" si="2"/>
        <v>3.5032066754016933E-2</v>
      </c>
      <c r="G36" s="5">
        <f t="shared" si="2"/>
        <v>4.4247787610619468E-2</v>
      </c>
      <c r="H36" s="5">
        <f t="shared" si="2"/>
        <v>0</v>
      </c>
      <c r="I36" s="5">
        <f t="shared" si="2"/>
        <v>6.8965517241379309E-2</v>
      </c>
      <c r="J36" s="5">
        <f t="shared" si="2"/>
        <v>0.1111111111111111</v>
      </c>
      <c r="K36" s="5">
        <f t="shared" si="2"/>
        <v>5.1282051282051204E-2</v>
      </c>
      <c r="L36" s="5">
        <f t="shared" si="2"/>
        <v>2.8022978842647889E-4</v>
      </c>
      <c r="M36" s="5">
        <f t="shared" si="2"/>
        <v>3.7182329865256575E-2</v>
      </c>
    </row>
    <row r="37" spans="1:13" x14ac:dyDescent="0.2">
      <c r="A37" t="s">
        <v>14</v>
      </c>
      <c r="B37" s="5">
        <f t="shared" ref="B37:M37" si="3">ABS(B26)/B15</f>
        <v>0</v>
      </c>
      <c r="C37" s="5">
        <f t="shared" si="3"/>
        <v>0</v>
      </c>
      <c r="D37" s="5">
        <f t="shared" si="3"/>
        <v>3.3769063180827945E-2</v>
      </c>
      <c r="E37" s="5">
        <f t="shared" si="3"/>
        <v>3.4743202416918764E-2</v>
      </c>
      <c r="F37" s="5">
        <f t="shared" si="3"/>
        <v>3.3792098567837214E-2</v>
      </c>
      <c r="G37" s="5">
        <f t="shared" si="3"/>
        <v>9.5238095238095247E-3</v>
      </c>
      <c r="H37" s="5">
        <f t="shared" si="3"/>
        <v>5.128205128205128E-2</v>
      </c>
      <c r="I37" s="5">
        <f t="shared" si="3"/>
        <v>7.407407407407407E-2</v>
      </c>
      <c r="J37" s="5">
        <f t="shared" si="3"/>
        <v>7.6923076923076927E-2</v>
      </c>
      <c r="K37" s="5">
        <f t="shared" si="3"/>
        <v>3.440366972477072E-2</v>
      </c>
      <c r="L37" s="5">
        <f t="shared" si="3"/>
        <v>8.2621867254206141E-4</v>
      </c>
      <c r="M37" s="5">
        <f t="shared" si="3"/>
        <v>1.7334967606373503E-2</v>
      </c>
    </row>
    <row r="38" spans="1:13" x14ac:dyDescent="0.2">
      <c r="A38" t="s">
        <v>15</v>
      </c>
      <c r="B38" s="5">
        <f t="shared" ref="B38:M38" si="4">ABS(B27)/B16</f>
        <v>1.834862385321101E-2</v>
      </c>
      <c r="C38" s="5">
        <f t="shared" si="4"/>
        <v>0</v>
      </c>
      <c r="D38" s="5">
        <f t="shared" si="4"/>
        <v>2.3794614902943066E-2</v>
      </c>
      <c r="E38" s="5">
        <f t="shared" si="4"/>
        <v>2.4305555555555348E-2</v>
      </c>
      <c r="F38" s="5">
        <f t="shared" si="4"/>
        <v>2.3816550072039856E-2</v>
      </c>
      <c r="G38" s="5">
        <f t="shared" si="4"/>
        <v>2.5862068965517241E-2</v>
      </c>
      <c r="H38" s="5">
        <f t="shared" si="4"/>
        <v>5.6818181818181816E-2</v>
      </c>
      <c r="I38" s="5">
        <f t="shared" si="4"/>
        <v>0.10714285714285714</v>
      </c>
      <c r="J38" s="5">
        <f t="shared" si="4"/>
        <v>0.1111111111111111</v>
      </c>
      <c r="K38" s="5">
        <f t="shared" si="4"/>
        <v>5.8651026392961929E-3</v>
      </c>
      <c r="L38" s="5">
        <f t="shared" si="4"/>
        <v>3.079507278835358E-3</v>
      </c>
      <c r="M38" s="5">
        <f t="shared" si="4"/>
        <v>1.2184944082790994E-2</v>
      </c>
    </row>
    <row r="39" spans="1:13" x14ac:dyDescent="0.2">
      <c r="A39" t="s">
        <v>16</v>
      </c>
      <c r="B39" s="5">
        <f t="shared" ref="B39:M39" si="5">ABS(B28)/B17</f>
        <v>8.2644628099173556E-3</v>
      </c>
      <c r="C39" s="5">
        <f t="shared" si="5"/>
        <v>0</v>
      </c>
      <c r="D39" s="5">
        <f t="shared" si="5"/>
        <v>6.2606715993169856E-3</v>
      </c>
      <c r="E39" s="5">
        <f t="shared" si="5"/>
        <v>6.309148264984233E-3</v>
      </c>
      <c r="F39" s="5">
        <f t="shared" si="5"/>
        <v>6.3665123030679513E-3</v>
      </c>
      <c r="G39" s="5">
        <f t="shared" si="5"/>
        <v>8.3333333333333332E-3</v>
      </c>
      <c r="H39" s="5">
        <f t="shared" si="5"/>
        <v>2.1276595744680851E-2</v>
      </c>
      <c r="I39" s="5">
        <f t="shared" si="5"/>
        <v>7.407407407407407E-2</v>
      </c>
      <c r="J39" s="5">
        <f t="shared" si="5"/>
        <v>7.6923076923076927E-2</v>
      </c>
      <c r="K39" s="5">
        <f t="shared" si="5"/>
        <v>2.9069767441861137E-3</v>
      </c>
      <c r="L39" s="5">
        <f t="shared" si="5"/>
        <v>3.6003600360035117E-3</v>
      </c>
      <c r="M39" s="5">
        <f t="shared" si="5"/>
        <v>1.7997270556124101E-2</v>
      </c>
    </row>
    <row r="40" spans="1:13" x14ac:dyDescent="0.2">
      <c r="A40" t="s">
        <v>17</v>
      </c>
      <c r="B40" s="5">
        <f>ABS(B29)/B18</f>
        <v>2.6315789473684209E-2</v>
      </c>
      <c r="C40" s="5">
        <f t="shared" ref="C40:M40" si="6">ABS(C29)/C18</f>
        <v>0</v>
      </c>
      <c r="D40" s="5">
        <f t="shared" si="6"/>
        <v>1.5201314708299137E-2</v>
      </c>
      <c r="E40" s="5">
        <f t="shared" si="6"/>
        <v>1.5945330296127422E-2</v>
      </c>
      <c r="F40" s="5">
        <f t="shared" si="6"/>
        <v>1.536446469248292E-2</v>
      </c>
      <c r="G40" s="5">
        <f t="shared" si="6"/>
        <v>3.875968992248062E-2</v>
      </c>
      <c r="H40" s="5">
        <f t="shared" si="6"/>
        <v>5.6179775280898875E-2</v>
      </c>
      <c r="I40" s="5">
        <f t="shared" si="6"/>
        <v>0.1111111111111111</v>
      </c>
      <c r="J40" s="5">
        <f t="shared" si="6"/>
        <v>7.1428571428571425E-2</v>
      </c>
      <c r="K40" s="5">
        <f t="shared" si="6"/>
        <v>4.166666666666663E-2</v>
      </c>
      <c r="L40" s="5">
        <f t="shared" si="6"/>
        <v>1.390209994878183E-3</v>
      </c>
      <c r="M40" s="5">
        <f t="shared" si="6"/>
        <v>3.0156815440289433E-2</v>
      </c>
    </row>
    <row r="41" spans="1:13" x14ac:dyDescent="0.2">
      <c r="A41" t="s">
        <v>18</v>
      </c>
      <c r="B41" s="5">
        <f>ABS(B30)/B19</f>
        <v>1.1695906432748537E-2</v>
      </c>
      <c r="C41" s="5">
        <f t="shared" ref="C41:M41" si="7">ABS(C30)/C19</f>
        <v>0</v>
      </c>
      <c r="D41" s="5">
        <f t="shared" si="7"/>
        <v>1.2702702702702672E-2</v>
      </c>
      <c r="E41" s="5">
        <f t="shared" si="7"/>
        <v>1.3493253373313321E-2</v>
      </c>
      <c r="F41" s="5">
        <f t="shared" si="7"/>
        <v>1.2579888661616691E-2</v>
      </c>
      <c r="G41" s="5">
        <f t="shared" si="7"/>
        <v>3.9603960396039604E-2</v>
      </c>
      <c r="H41" s="5">
        <f t="shared" si="7"/>
        <v>0</v>
      </c>
      <c r="I41" s="5">
        <f t="shared" si="7"/>
        <v>7.407407407407407E-2</v>
      </c>
      <c r="J41" s="5">
        <f t="shared" si="7"/>
        <v>0.1111111111111111</v>
      </c>
      <c r="K41" s="5">
        <f t="shared" si="7"/>
        <v>2.3809523809523878E-2</v>
      </c>
      <c r="L41" s="5">
        <f t="shared" si="7"/>
        <v>4.2594119263533823E-3</v>
      </c>
      <c r="M41" s="5">
        <f t="shared" si="7"/>
        <v>2.5230169971671362E-2</v>
      </c>
    </row>
    <row r="42" spans="1:13" x14ac:dyDescent="0.2">
      <c r="A42" t="s">
        <v>19</v>
      </c>
      <c r="B42" s="5">
        <f>ABS(B31)/B20</f>
        <v>2.5862068965517241E-2</v>
      </c>
      <c r="C42" s="5">
        <f t="shared" ref="C42:M42" si="8">ABS(C31)/C20</f>
        <v>0</v>
      </c>
      <c r="D42" s="5">
        <f t="shared" si="8"/>
        <v>1.1131167268351306E-2</v>
      </c>
      <c r="E42" s="5">
        <f t="shared" si="8"/>
        <v>9.9999999999999343E-3</v>
      </c>
      <c r="F42" s="5">
        <f t="shared" si="8"/>
        <v>1.1267347211102327E-2</v>
      </c>
      <c r="G42" s="5">
        <f t="shared" si="8"/>
        <v>4.4247787610619468E-2</v>
      </c>
      <c r="H42" s="5">
        <f t="shared" si="8"/>
        <v>2.2988505747126436E-2</v>
      </c>
      <c r="I42" s="5">
        <f t="shared" si="8"/>
        <v>7.6923076923076927E-2</v>
      </c>
      <c r="J42" s="5">
        <f t="shared" si="8"/>
        <v>0.12</v>
      </c>
      <c r="K42" s="5">
        <f t="shared" si="8"/>
        <v>3.7249283667621869E-2</v>
      </c>
      <c r="L42" s="5">
        <f t="shared" si="8"/>
        <v>3.8290169869116117E-3</v>
      </c>
      <c r="M42" s="5">
        <f t="shared" si="8"/>
        <v>9.2522499789720741E-3</v>
      </c>
    </row>
    <row r="43" spans="1:13" x14ac:dyDescent="0.2">
      <c r="A43" t="s">
        <v>20</v>
      </c>
      <c r="B43" s="5">
        <f>ABS(B32)/B21</f>
        <v>2.5806451612903226E-2</v>
      </c>
      <c r="C43" s="5">
        <f t="shared" ref="C43:M43" si="9">ABS(C32)/C21</f>
        <v>0</v>
      </c>
      <c r="D43" s="5">
        <f t="shared" si="9"/>
        <v>3.3073929961089633E-2</v>
      </c>
      <c r="E43" s="5">
        <f t="shared" si="9"/>
        <v>3.2357473035439129E-2</v>
      </c>
      <c r="F43" s="5">
        <f t="shared" si="9"/>
        <v>3.3061862898441298E-2</v>
      </c>
      <c r="G43" s="5">
        <f t="shared" si="9"/>
        <v>9.2592592592592587E-3</v>
      </c>
      <c r="H43" s="5">
        <f t="shared" si="9"/>
        <v>2.247191011235955E-2</v>
      </c>
      <c r="I43" s="5">
        <f t="shared" si="9"/>
        <v>3.5714285714285712E-2</v>
      </c>
      <c r="J43" s="5">
        <f t="shared" si="9"/>
        <v>7.6923076923076927E-2</v>
      </c>
      <c r="K43" s="5">
        <f t="shared" si="9"/>
        <v>6.9605568445474161E-3</v>
      </c>
      <c r="L43" s="5">
        <f t="shared" si="9"/>
        <v>5.5199061615946452E-4</v>
      </c>
      <c r="M43" s="5">
        <f t="shared" si="9"/>
        <v>2.6727791713519723E-2</v>
      </c>
    </row>
    <row r="44" spans="1:13" x14ac:dyDescent="0.2">
      <c r="A44" t="s">
        <v>21</v>
      </c>
      <c r="B44" s="5">
        <f>ABS(B33)/B22</f>
        <v>1.5384615384615385E-2</v>
      </c>
      <c r="C44" s="5">
        <f t="shared" ref="C44:M44" si="10">ABS(C33)/C22</f>
        <v>0</v>
      </c>
      <c r="D44" s="5">
        <f t="shared" si="10"/>
        <v>3.6772777167947211E-2</v>
      </c>
      <c r="E44" s="5">
        <f t="shared" si="10"/>
        <v>3.6529680365296836E-2</v>
      </c>
      <c r="F44" s="5">
        <f t="shared" si="10"/>
        <v>3.6691594330794948E-2</v>
      </c>
      <c r="G44" s="5">
        <f t="shared" si="10"/>
        <v>1.7543859649122806E-2</v>
      </c>
      <c r="H44" s="5">
        <f t="shared" si="10"/>
        <v>1.1494252873563218E-2</v>
      </c>
      <c r="I44" s="5">
        <f t="shared" si="10"/>
        <v>7.407407407407407E-2</v>
      </c>
      <c r="J44" s="5">
        <f t="shared" si="10"/>
        <v>7.6923076923076927E-2</v>
      </c>
      <c r="K44" s="5">
        <f t="shared" si="10"/>
        <v>2.2408963585434195E-2</v>
      </c>
      <c r="L44" s="5">
        <f t="shared" si="10"/>
        <v>2.4951483227058824E-3</v>
      </c>
      <c r="M44" s="5">
        <f t="shared" si="10"/>
        <v>1.0233284190443181E-2</v>
      </c>
    </row>
    <row r="45" spans="1:13" x14ac:dyDescent="0.2">
      <c r="A45" s="10" t="s">
        <v>62</v>
      </c>
      <c r="B45" s="6">
        <f>AVERAGE(B36:B44)</f>
        <v>1.6597448175204973E-2</v>
      </c>
      <c r="C45" s="6">
        <f t="shared" ref="C45" si="11">AVERAGE(C36:C44)</f>
        <v>0</v>
      </c>
      <c r="D45" s="6">
        <f t="shared" ref="D45:M45" si="12">AVERAGE(D36:D44)</f>
        <v>2.3093673045764006E-2</v>
      </c>
      <c r="E45" s="6">
        <f t="shared" si="12"/>
        <v>2.3129600214258274E-2</v>
      </c>
      <c r="F45" s="6">
        <f t="shared" si="12"/>
        <v>2.3108042832377787E-2</v>
      </c>
      <c r="G45" s="6">
        <f t="shared" si="12"/>
        <v>2.637572847453348E-2</v>
      </c>
      <c r="H45" s="6">
        <f t="shared" si="12"/>
        <v>2.6945696984318004E-2</v>
      </c>
      <c r="I45" s="6">
        <f t="shared" si="12"/>
        <v>7.7350349381000702E-2</v>
      </c>
      <c r="J45" s="6">
        <f t="shared" si="12"/>
        <v>9.2494912494912498E-2</v>
      </c>
      <c r="K45" s="6">
        <f t="shared" si="12"/>
        <v>2.517253277378869E-2</v>
      </c>
      <c r="L45" s="6">
        <f t="shared" si="12"/>
        <v>2.2568992914239927E-3</v>
      </c>
      <c r="M45" s="6">
        <f t="shared" si="12"/>
        <v>2.0699980378382322E-2</v>
      </c>
    </row>
    <row r="46" spans="1:13" x14ac:dyDescent="0.2">
      <c r="A46" s="10" t="s">
        <v>63</v>
      </c>
      <c r="B46" s="6">
        <f>MAX(B36:B44)</f>
        <v>2.6315789473684209E-2</v>
      </c>
      <c r="C46" s="6">
        <f t="shared" ref="C46:M46" si="13">MAX(C36:C44)</f>
        <v>0</v>
      </c>
      <c r="D46" s="6">
        <f t="shared" si="13"/>
        <v>3.6772777167947211E-2</v>
      </c>
      <c r="E46" s="6">
        <f t="shared" si="13"/>
        <v>3.6529680365296836E-2</v>
      </c>
      <c r="F46" s="6">
        <f t="shared" si="13"/>
        <v>3.6691594330794948E-2</v>
      </c>
      <c r="G46" s="6">
        <f t="shared" si="13"/>
        <v>4.4247787610619468E-2</v>
      </c>
      <c r="H46" s="6">
        <f t="shared" si="13"/>
        <v>5.6818181818181816E-2</v>
      </c>
      <c r="I46" s="6">
        <f t="shared" si="13"/>
        <v>0.1111111111111111</v>
      </c>
      <c r="J46" s="6">
        <f t="shared" si="13"/>
        <v>0.12</v>
      </c>
      <c r="K46" s="6">
        <f t="shared" si="13"/>
        <v>5.1282051282051204E-2</v>
      </c>
      <c r="L46" s="6">
        <f t="shared" si="13"/>
        <v>4.2594119263533823E-3</v>
      </c>
      <c r="M46" s="6">
        <f t="shared" si="13"/>
        <v>3.7182329865256575E-2</v>
      </c>
    </row>
    <row r="47" spans="1:13" x14ac:dyDescent="0.2">
      <c r="A47" s="10" t="s">
        <v>70</v>
      </c>
      <c r="B47" s="12">
        <f>SQRT(SUMSQ(B25:B33)/COUNTA(B25:B33))</f>
        <v>2.2607766610417559</v>
      </c>
      <c r="C47" s="12">
        <f t="shared" ref="C47:M47" si="14">SQRT(SUMSQ(C25:C33)/COUNTA(C25:C33))</f>
        <v>0</v>
      </c>
      <c r="D47" s="12">
        <f t="shared" si="14"/>
        <v>0.89112288714856902</v>
      </c>
      <c r="E47" s="12">
        <f t="shared" si="14"/>
        <v>0.16069294390925279</v>
      </c>
      <c r="F47" s="12">
        <f t="shared" si="14"/>
        <v>0.32122942649210173</v>
      </c>
      <c r="G47" s="12">
        <f>SQRT(SUMSQ(G25:G33)/COUNTA(G25:G33))</f>
        <v>3.4480268109295333</v>
      </c>
      <c r="H47" s="12">
        <f>SQRT(SUMSQ(H25:H33)/COUNTA(H25:H33))</f>
        <v>2.9627314724385299</v>
      </c>
      <c r="I47" s="12">
        <f t="shared" si="14"/>
        <v>2.1858128414340001</v>
      </c>
      <c r="J47" s="12">
        <f>SQRT(SUMSQ(J25:J33)/COUNTA(J25:J33))</f>
        <v>2.4944382578492941</v>
      </c>
      <c r="K47" s="12">
        <f>SQRT(SUMSQ(K25:K33)/COUNTA(K25:K33))</f>
        <v>0.10984838035522726</v>
      </c>
      <c r="L47" s="12">
        <f t="shared" si="14"/>
        <v>3.8571722515046455E-3</v>
      </c>
      <c r="M47" s="12">
        <f t="shared" si="14"/>
        <v>2.6254459938583094E-2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topLeftCell="A10" workbookViewId="0">
      <selection activeCell="E46" sqref="E46"/>
    </sheetView>
  </sheetViews>
  <sheetFormatPr baseColWidth="10" defaultColWidth="8.83203125" defaultRowHeight="15" x14ac:dyDescent="0.2"/>
  <cols>
    <col min="1" max="1" width="23.5" bestFit="1" customWidth="1"/>
    <col min="2" max="3" width="7" bestFit="1" customWidth="1"/>
    <col min="4" max="4" width="10.1640625" bestFit="1" customWidth="1"/>
    <col min="5" max="5" width="7.6640625" bestFit="1" customWidth="1"/>
    <col min="6" max="6" width="10.5" bestFit="1" customWidth="1"/>
    <col min="7" max="7" width="11" bestFit="1" customWidth="1"/>
    <col min="8" max="8" width="12.5" bestFit="1" customWidth="1"/>
    <col min="9" max="9" width="9.6640625" bestFit="1" customWidth="1"/>
    <col min="10" max="10" width="11.1640625" bestFit="1" customWidth="1"/>
    <col min="11" max="11" width="7" bestFit="1" customWidth="1"/>
    <col min="12" max="13" width="7.6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7" t="s">
        <v>58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2">
      <c r="A3" t="s">
        <v>22</v>
      </c>
      <c r="B3">
        <v>2</v>
      </c>
      <c r="C3">
        <v>11.18</v>
      </c>
      <c r="D3">
        <v>2.91</v>
      </c>
      <c r="E3">
        <v>1.85</v>
      </c>
      <c r="F3">
        <v>3.7044000000000001</v>
      </c>
      <c r="G3">
        <v>242</v>
      </c>
      <c r="H3">
        <v>204</v>
      </c>
      <c r="I3">
        <v>30</v>
      </c>
      <c r="J3">
        <v>30</v>
      </c>
      <c r="K3">
        <v>0.69</v>
      </c>
      <c r="L3">
        <v>0.94699999999999995</v>
      </c>
      <c r="M3">
        <v>1.1519999999999999</v>
      </c>
    </row>
    <row r="4" spans="1:13" x14ac:dyDescent="0.2">
      <c r="A4" t="s">
        <v>23</v>
      </c>
      <c r="B4">
        <v>355</v>
      </c>
      <c r="C4">
        <v>35.709999999999987</v>
      </c>
      <c r="D4">
        <v>82.15</v>
      </c>
      <c r="E4">
        <v>6.54</v>
      </c>
      <c r="F4">
        <v>13.077</v>
      </c>
      <c r="G4">
        <v>108</v>
      </c>
      <c r="H4">
        <v>84</v>
      </c>
      <c r="I4">
        <v>29</v>
      </c>
      <c r="J4">
        <v>30</v>
      </c>
      <c r="K4">
        <v>4.32</v>
      </c>
      <c r="L4">
        <v>1.4111</v>
      </c>
      <c r="M4">
        <v>1.1561999999999999</v>
      </c>
    </row>
    <row r="5" spans="1:13" x14ac:dyDescent="0.2">
      <c r="A5" t="s">
        <v>24</v>
      </c>
      <c r="B5">
        <v>166</v>
      </c>
      <c r="C5">
        <v>34.57</v>
      </c>
      <c r="D5">
        <v>39.85</v>
      </c>
      <c r="E5">
        <v>6.34</v>
      </c>
      <c r="F5">
        <v>12.6874</v>
      </c>
      <c r="G5">
        <v>109</v>
      </c>
      <c r="H5">
        <v>82</v>
      </c>
      <c r="I5">
        <v>29</v>
      </c>
      <c r="J5">
        <v>30</v>
      </c>
      <c r="K5">
        <v>4.17</v>
      </c>
      <c r="L5">
        <v>1.3582000000000001</v>
      </c>
      <c r="M5">
        <v>1.1464000000000001</v>
      </c>
    </row>
    <row r="6" spans="1:13" x14ac:dyDescent="0.2">
      <c r="A6" t="s">
        <v>25</v>
      </c>
      <c r="B6">
        <v>185</v>
      </c>
      <c r="C6">
        <v>36.81</v>
      </c>
      <c r="D6">
        <v>42.09</v>
      </c>
      <c r="E6">
        <v>6.7</v>
      </c>
      <c r="F6">
        <v>13.399100000000001</v>
      </c>
      <c r="G6">
        <v>106</v>
      </c>
      <c r="H6">
        <v>84</v>
      </c>
      <c r="I6">
        <v>29</v>
      </c>
      <c r="J6">
        <v>28</v>
      </c>
      <c r="K6">
        <v>4.4000000000000004</v>
      </c>
      <c r="L6">
        <v>1.37</v>
      </c>
      <c r="M6">
        <v>1.1648000000000001</v>
      </c>
    </row>
    <row r="7" spans="1:13" x14ac:dyDescent="0.2">
      <c r="A7" t="s">
        <v>26</v>
      </c>
      <c r="B7">
        <v>112</v>
      </c>
      <c r="C7">
        <v>33.57</v>
      </c>
      <c r="D7">
        <v>25.25</v>
      </c>
      <c r="E7">
        <v>6.03</v>
      </c>
      <c r="F7">
        <v>12.055999999999999</v>
      </c>
      <c r="G7">
        <v>107</v>
      </c>
      <c r="H7">
        <v>85</v>
      </c>
      <c r="I7">
        <v>29</v>
      </c>
      <c r="J7">
        <v>30</v>
      </c>
      <c r="K7">
        <v>4.4400000000000004</v>
      </c>
      <c r="L7">
        <v>1.2851999999999999</v>
      </c>
      <c r="M7">
        <v>1.1426000000000001</v>
      </c>
    </row>
    <row r="8" spans="1:13" x14ac:dyDescent="0.2">
      <c r="A8" t="s">
        <v>27</v>
      </c>
      <c r="B8">
        <v>100</v>
      </c>
      <c r="C8">
        <v>35.94</v>
      </c>
      <c r="D8">
        <v>27.93</v>
      </c>
      <c r="E8">
        <v>6.67</v>
      </c>
      <c r="F8">
        <v>13.339600000000001</v>
      </c>
      <c r="G8">
        <v>116</v>
      </c>
      <c r="H8">
        <v>85</v>
      </c>
      <c r="I8">
        <v>28</v>
      </c>
      <c r="J8">
        <v>28</v>
      </c>
      <c r="K8">
        <v>3.58</v>
      </c>
      <c r="L8">
        <v>1.3062</v>
      </c>
      <c r="M8">
        <v>1.1861999999999999</v>
      </c>
    </row>
    <row r="9" spans="1:13" x14ac:dyDescent="0.2">
      <c r="A9" t="s">
        <v>28</v>
      </c>
      <c r="B9">
        <v>61</v>
      </c>
      <c r="C9">
        <v>37.25</v>
      </c>
      <c r="D9">
        <v>14.17</v>
      </c>
      <c r="E9">
        <v>6.77</v>
      </c>
      <c r="F9">
        <v>13.5327</v>
      </c>
      <c r="G9">
        <v>105</v>
      </c>
      <c r="H9">
        <v>82</v>
      </c>
      <c r="I9">
        <v>30</v>
      </c>
      <c r="J9">
        <v>30</v>
      </c>
      <c r="K9">
        <v>4.3</v>
      </c>
      <c r="L9">
        <v>1.1960999999999999</v>
      </c>
      <c r="M9">
        <v>1.153</v>
      </c>
    </row>
    <row r="10" spans="1:13" x14ac:dyDescent="0.2">
      <c r="A10" t="s">
        <v>29</v>
      </c>
      <c r="B10">
        <v>72</v>
      </c>
      <c r="C10">
        <v>38</v>
      </c>
      <c r="D10">
        <v>14.92</v>
      </c>
      <c r="E10">
        <v>7.13</v>
      </c>
      <c r="F10">
        <v>14.252599999999999</v>
      </c>
      <c r="G10">
        <v>97</v>
      </c>
      <c r="H10">
        <v>78</v>
      </c>
      <c r="I10">
        <v>28</v>
      </c>
      <c r="J10">
        <v>28</v>
      </c>
      <c r="K10">
        <v>4.83</v>
      </c>
      <c r="L10">
        <v>1.2028000000000001</v>
      </c>
      <c r="M10">
        <v>1.1625000000000001</v>
      </c>
    </row>
    <row r="12" spans="1:13" x14ac:dyDescent="0.2">
      <c r="A12" s="4" t="s">
        <v>59</v>
      </c>
    </row>
    <row r="13" spans="1:13" x14ac:dyDescent="0.2">
      <c r="A13" t="s">
        <v>22</v>
      </c>
      <c r="B13">
        <v>0</v>
      </c>
      <c r="C13">
        <v>8.06</v>
      </c>
      <c r="D13">
        <v>2.15</v>
      </c>
      <c r="E13">
        <v>1.37</v>
      </c>
      <c r="F13">
        <v>2.7372999999999998</v>
      </c>
      <c r="G13">
        <v>430</v>
      </c>
      <c r="H13">
        <v>219</v>
      </c>
      <c r="I13">
        <v>26</v>
      </c>
      <c r="J13">
        <v>26</v>
      </c>
      <c r="K13">
        <v>0</v>
      </c>
      <c r="L13">
        <v>0.93179999999999996</v>
      </c>
      <c r="M13">
        <v>1.1895</v>
      </c>
    </row>
    <row r="14" spans="1:13" x14ac:dyDescent="0.2">
      <c r="A14" t="s">
        <v>64</v>
      </c>
      <c r="B14">
        <v>374</v>
      </c>
      <c r="C14">
        <v>36.4</v>
      </c>
      <c r="D14">
        <v>82.94</v>
      </c>
      <c r="E14">
        <v>6.6000000000000005</v>
      </c>
      <c r="F14">
        <v>13.2005</v>
      </c>
      <c r="G14">
        <v>106</v>
      </c>
      <c r="H14">
        <v>85</v>
      </c>
      <c r="I14">
        <v>28</v>
      </c>
      <c r="J14">
        <v>28</v>
      </c>
      <c r="K14">
        <v>4.51</v>
      </c>
      <c r="L14">
        <v>1.4175</v>
      </c>
      <c r="M14">
        <v>1.1362000000000001</v>
      </c>
    </row>
    <row r="15" spans="1:13" x14ac:dyDescent="0.2">
      <c r="A15" t="s">
        <v>24</v>
      </c>
      <c r="B15">
        <v>200</v>
      </c>
      <c r="C15">
        <v>37.1</v>
      </c>
      <c r="D15">
        <v>42.53</v>
      </c>
      <c r="E15">
        <v>6.76</v>
      </c>
      <c r="F15">
        <v>13.529500000000001</v>
      </c>
      <c r="G15">
        <v>104</v>
      </c>
      <c r="H15">
        <v>84</v>
      </c>
      <c r="I15">
        <v>28</v>
      </c>
      <c r="J15">
        <v>28</v>
      </c>
      <c r="K15">
        <v>4.7</v>
      </c>
      <c r="L15">
        <v>1.371</v>
      </c>
      <c r="M15">
        <v>1.1315999999999999</v>
      </c>
    </row>
    <row r="16" spans="1:13" x14ac:dyDescent="0.2">
      <c r="A16" t="s">
        <v>25</v>
      </c>
      <c r="B16">
        <v>160</v>
      </c>
      <c r="C16">
        <v>33.619999999999997</v>
      </c>
      <c r="D16">
        <v>38.090000000000003</v>
      </c>
      <c r="E16">
        <v>6.0699999999999994</v>
      </c>
      <c r="F16">
        <v>12.131</v>
      </c>
      <c r="G16">
        <v>110</v>
      </c>
      <c r="H16">
        <v>87</v>
      </c>
      <c r="I16">
        <v>28</v>
      </c>
      <c r="J16">
        <v>27</v>
      </c>
      <c r="K16">
        <v>4.2</v>
      </c>
      <c r="L16">
        <v>1.3608</v>
      </c>
      <c r="M16">
        <v>1.1492</v>
      </c>
    </row>
    <row r="17" spans="1:13" x14ac:dyDescent="0.2">
      <c r="A17" t="s">
        <v>26</v>
      </c>
      <c r="B17">
        <v>143</v>
      </c>
      <c r="C17">
        <v>37.1</v>
      </c>
      <c r="D17">
        <v>28.11</v>
      </c>
      <c r="E17">
        <v>6.7100000000000009</v>
      </c>
      <c r="F17">
        <v>13.4221</v>
      </c>
      <c r="G17">
        <v>98</v>
      </c>
      <c r="H17">
        <v>81</v>
      </c>
      <c r="I17">
        <v>28</v>
      </c>
      <c r="J17">
        <v>28</v>
      </c>
      <c r="K17">
        <v>5.09</v>
      </c>
      <c r="L17">
        <v>1.3109</v>
      </c>
      <c r="M17">
        <v>1.1225000000000001</v>
      </c>
    </row>
    <row r="18" spans="1:13" x14ac:dyDescent="0.2">
      <c r="A18" t="s">
        <v>27</v>
      </c>
      <c r="B18">
        <v>97</v>
      </c>
      <c r="C18">
        <v>34.619999999999997</v>
      </c>
      <c r="D18">
        <v>25.97</v>
      </c>
      <c r="E18">
        <v>6.2</v>
      </c>
      <c r="F18">
        <v>12.3987</v>
      </c>
      <c r="G18">
        <v>114</v>
      </c>
      <c r="H18">
        <v>89</v>
      </c>
      <c r="I18">
        <v>27</v>
      </c>
      <c r="J18">
        <v>27</v>
      </c>
      <c r="K18">
        <v>3.74</v>
      </c>
      <c r="L18">
        <v>1.2987</v>
      </c>
      <c r="M18">
        <v>1.163</v>
      </c>
    </row>
    <row r="19" spans="1:13" x14ac:dyDescent="0.2">
      <c r="A19" t="s">
        <v>28</v>
      </c>
      <c r="B19">
        <v>68</v>
      </c>
      <c r="C19">
        <v>38.86</v>
      </c>
      <c r="D19">
        <v>14.29</v>
      </c>
      <c r="E19">
        <v>6.83</v>
      </c>
      <c r="F19">
        <v>13.6557</v>
      </c>
      <c r="G19">
        <v>101</v>
      </c>
      <c r="H19">
        <v>87</v>
      </c>
      <c r="I19">
        <v>29</v>
      </c>
      <c r="J19">
        <v>29</v>
      </c>
      <c r="K19">
        <v>4.76</v>
      </c>
      <c r="L19">
        <v>1.2146999999999999</v>
      </c>
      <c r="M19">
        <v>1.1369</v>
      </c>
    </row>
    <row r="20" spans="1:13" x14ac:dyDescent="0.2">
      <c r="A20" t="s">
        <v>29</v>
      </c>
      <c r="B20">
        <v>56</v>
      </c>
      <c r="C20">
        <v>36.130000000000003</v>
      </c>
      <c r="D20">
        <v>13.79</v>
      </c>
      <c r="E20">
        <v>6.59</v>
      </c>
      <c r="F20">
        <v>13.177899999999999</v>
      </c>
      <c r="G20">
        <v>111</v>
      </c>
      <c r="H20">
        <v>82</v>
      </c>
      <c r="I20">
        <v>28</v>
      </c>
      <c r="J20">
        <v>27</v>
      </c>
      <c r="K20">
        <v>4.0599999999999996</v>
      </c>
      <c r="L20">
        <v>1.2053</v>
      </c>
      <c r="M20">
        <v>1.1358999999999999</v>
      </c>
    </row>
    <row r="22" spans="1:13" x14ac:dyDescent="0.2">
      <c r="A22" s="4" t="s">
        <v>60</v>
      </c>
    </row>
    <row r="23" spans="1:13" x14ac:dyDescent="0.2">
      <c r="A23" t="s">
        <v>22</v>
      </c>
      <c r="B23">
        <f>B3-B13</f>
        <v>2</v>
      </c>
      <c r="C23">
        <f t="shared" ref="C23:M23" si="0">C3-C13</f>
        <v>3.1199999999999992</v>
      </c>
      <c r="D23">
        <f t="shared" si="0"/>
        <v>0.76000000000000023</v>
      </c>
      <c r="E23">
        <f t="shared" si="0"/>
        <v>0.48</v>
      </c>
      <c r="F23">
        <f t="shared" si="0"/>
        <v>0.96710000000000029</v>
      </c>
      <c r="G23" s="8">
        <f t="shared" si="0"/>
        <v>-188</v>
      </c>
      <c r="H23">
        <f t="shared" si="0"/>
        <v>-15</v>
      </c>
      <c r="I23">
        <f t="shared" si="0"/>
        <v>4</v>
      </c>
      <c r="J23">
        <f t="shared" si="0"/>
        <v>4</v>
      </c>
      <c r="K23">
        <f t="shared" si="0"/>
        <v>0.69</v>
      </c>
      <c r="L23">
        <f t="shared" si="0"/>
        <v>1.5199999999999991E-2</v>
      </c>
      <c r="M23">
        <f t="shared" si="0"/>
        <v>-3.7500000000000089E-2</v>
      </c>
    </row>
    <row r="24" spans="1:13" x14ac:dyDescent="0.2">
      <c r="A24" t="s">
        <v>64</v>
      </c>
      <c r="B24">
        <f t="shared" ref="B24:M30" si="1">B4-B14</f>
        <v>-19</v>
      </c>
      <c r="C24">
        <f t="shared" si="1"/>
        <v>-0.69000000000001194</v>
      </c>
      <c r="D24">
        <f t="shared" si="1"/>
        <v>-0.78999999999999204</v>
      </c>
      <c r="E24">
        <f t="shared" si="1"/>
        <v>-6.0000000000000497E-2</v>
      </c>
      <c r="F24">
        <f t="shared" si="1"/>
        <v>-0.12349999999999994</v>
      </c>
      <c r="G24">
        <f t="shared" si="1"/>
        <v>2</v>
      </c>
      <c r="H24">
        <f t="shared" si="1"/>
        <v>-1</v>
      </c>
      <c r="I24">
        <f t="shared" si="1"/>
        <v>1</v>
      </c>
      <c r="J24">
        <f t="shared" si="1"/>
        <v>2</v>
      </c>
      <c r="K24">
        <f t="shared" si="1"/>
        <v>-0.1899999999999995</v>
      </c>
      <c r="L24">
        <f t="shared" si="1"/>
        <v>-6.3999999999999613E-3</v>
      </c>
      <c r="M24">
        <f t="shared" si="1"/>
        <v>1.9999999999999796E-2</v>
      </c>
    </row>
    <row r="25" spans="1:13" x14ac:dyDescent="0.2">
      <c r="A25" t="s">
        <v>24</v>
      </c>
      <c r="B25">
        <f t="shared" si="1"/>
        <v>-34</v>
      </c>
      <c r="C25">
        <f t="shared" si="1"/>
        <v>-2.5300000000000011</v>
      </c>
      <c r="D25">
        <f t="shared" si="1"/>
        <v>-2.6799999999999997</v>
      </c>
      <c r="E25">
        <f t="shared" si="1"/>
        <v>-0.41999999999999993</v>
      </c>
      <c r="F25">
        <f t="shared" si="1"/>
        <v>-0.84210000000000029</v>
      </c>
      <c r="G25">
        <f t="shared" si="1"/>
        <v>5</v>
      </c>
      <c r="H25">
        <f t="shared" si="1"/>
        <v>-2</v>
      </c>
      <c r="I25">
        <f t="shared" si="1"/>
        <v>1</v>
      </c>
      <c r="J25">
        <f t="shared" si="1"/>
        <v>2</v>
      </c>
      <c r="K25">
        <f t="shared" si="1"/>
        <v>-0.53000000000000025</v>
      </c>
      <c r="L25">
        <f t="shared" si="1"/>
        <v>-1.2799999999999923E-2</v>
      </c>
      <c r="M25">
        <f t="shared" si="1"/>
        <v>1.4800000000000146E-2</v>
      </c>
    </row>
    <row r="26" spans="1:13" x14ac:dyDescent="0.2">
      <c r="A26" t="s">
        <v>25</v>
      </c>
      <c r="B26">
        <f t="shared" si="1"/>
        <v>25</v>
      </c>
      <c r="C26">
        <f t="shared" si="1"/>
        <v>3.1900000000000048</v>
      </c>
      <c r="D26">
        <f t="shared" si="1"/>
        <v>4</v>
      </c>
      <c r="E26">
        <f t="shared" si="1"/>
        <v>0.63000000000000078</v>
      </c>
      <c r="F26">
        <f t="shared" si="1"/>
        <v>1.2681000000000004</v>
      </c>
      <c r="G26">
        <f t="shared" si="1"/>
        <v>-4</v>
      </c>
      <c r="H26">
        <f t="shared" si="1"/>
        <v>-3</v>
      </c>
      <c r="I26">
        <f t="shared" si="1"/>
        <v>1</v>
      </c>
      <c r="J26">
        <f t="shared" si="1"/>
        <v>1</v>
      </c>
      <c r="K26">
        <f t="shared" si="1"/>
        <v>0.20000000000000018</v>
      </c>
      <c r="L26">
        <f t="shared" si="1"/>
        <v>9.200000000000097E-3</v>
      </c>
      <c r="M26">
        <f t="shared" si="1"/>
        <v>1.5600000000000058E-2</v>
      </c>
    </row>
    <row r="27" spans="1:13" x14ac:dyDescent="0.2">
      <c r="A27" t="s">
        <v>26</v>
      </c>
      <c r="B27">
        <f t="shared" si="1"/>
        <v>-31</v>
      </c>
      <c r="C27">
        <f t="shared" si="1"/>
        <v>-3.5300000000000011</v>
      </c>
      <c r="D27">
        <f t="shared" si="1"/>
        <v>-2.8599999999999994</v>
      </c>
      <c r="E27">
        <f t="shared" si="1"/>
        <v>-0.6800000000000006</v>
      </c>
      <c r="F27">
        <f t="shared" si="1"/>
        <v>-1.3661000000000012</v>
      </c>
      <c r="G27">
        <f t="shared" si="1"/>
        <v>9</v>
      </c>
      <c r="H27">
        <f t="shared" si="1"/>
        <v>4</v>
      </c>
      <c r="I27">
        <f t="shared" si="1"/>
        <v>1</v>
      </c>
      <c r="J27">
        <f t="shared" si="1"/>
        <v>2</v>
      </c>
      <c r="K27">
        <f t="shared" si="1"/>
        <v>-0.64999999999999947</v>
      </c>
      <c r="L27">
        <f t="shared" si="1"/>
        <v>-2.5700000000000056E-2</v>
      </c>
      <c r="M27">
        <f t="shared" si="1"/>
        <v>2.0100000000000007E-2</v>
      </c>
    </row>
    <row r="28" spans="1:13" x14ac:dyDescent="0.2">
      <c r="A28" t="s">
        <v>27</v>
      </c>
      <c r="B28">
        <f t="shared" si="1"/>
        <v>3</v>
      </c>
      <c r="C28">
        <f t="shared" si="1"/>
        <v>1.3200000000000003</v>
      </c>
      <c r="D28">
        <f t="shared" si="1"/>
        <v>1.9600000000000009</v>
      </c>
      <c r="E28">
        <f t="shared" si="1"/>
        <v>0.46999999999999975</v>
      </c>
      <c r="F28">
        <f t="shared" si="1"/>
        <v>0.94090000000000096</v>
      </c>
      <c r="G28">
        <f t="shared" si="1"/>
        <v>2</v>
      </c>
      <c r="H28">
        <f t="shared" si="1"/>
        <v>-4</v>
      </c>
      <c r="I28">
        <f t="shared" si="1"/>
        <v>1</v>
      </c>
      <c r="J28">
        <f t="shared" si="1"/>
        <v>1</v>
      </c>
      <c r="K28">
        <f t="shared" si="1"/>
        <v>-0.16000000000000014</v>
      </c>
      <c r="L28">
        <f t="shared" si="1"/>
        <v>7.5000000000000622E-3</v>
      </c>
      <c r="M28">
        <f t="shared" si="1"/>
        <v>2.3199999999999887E-2</v>
      </c>
    </row>
    <row r="29" spans="1:13" x14ac:dyDescent="0.2">
      <c r="A29" t="s">
        <v>28</v>
      </c>
      <c r="B29">
        <f t="shared" si="1"/>
        <v>-7</v>
      </c>
      <c r="C29">
        <f t="shared" si="1"/>
        <v>-1.6099999999999994</v>
      </c>
      <c r="D29">
        <f t="shared" si="1"/>
        <v>-0.11999999999999922</v>
      </c>
      <c r="E29">
        <f t="shared" si="1"/>
        <v>-6.0000000000000497E-2</v>
      </c>
      <c r="F29">
        <f t="shared" si="1"/>
        <v>-0.12299999999999933</v>
      </c>
      <c r="G29">
        <f t="shared" si="1"/>
        <v>4</v>
      </c>
      <c r="H29">
        <f t="shared" si="1"/>
        <v>-5</v>
      </c>
      <c r="I29">
        <f t="shared" si="1"/>
        <v>1</v>
      </c>
      <c r="J29">
        <f t="shared" si="1"/>
        <v>1</v>
      </c>
      <c r="K29">
        <f t="shared" si="1"/>
        <v>-0.45999999999999996</v>
      </c>
      <c r="L29">
        <f t="shared" si="1"/>
        <v>-1.859999999999995E-2</v>
      </c>
      <c r="M29">
        <f t="shared" si="1"/>
        <v>1.6100000000000003E-2</v>
      </c>
    </row>
    <row r="30" spans="1:13" x14ac:dyDescent="0.2">
      <c r="A30" t="s">
        <v>29</v>
      </c>
      <c r="B30">
        <f t="shared" si="1"/>
        <v>16</v>
      </c>
      <c r="C30">
        <f t="shared" si="1"/>
        <v>1.8699999999999974</v>
      </c>
      <c r="D30">
        <f t="shared" si="1"/>
        <v>1.1300000000000008</v>
      </c>
      <c r="E30">
        <f t="shared" si="1"/>
        <v>0.54</v>
      </c>
      <c r="F30">
        <f t="shared" si="1"/>
        <v>1.0747</v>
      </c>
      <c r="G30">
        <f t="shared" si="1"/>
        <v>-14</v>
      </c>
      <c r="H30">
        <f t="shared" si="1"/>
        <v>-4</v>
      </c>
      <c r="I30">
        <f t="shared" si="1"/>
        <v>0</v>
      </c>
      <c r="J30">
        <f t="shared" si="1"/>
        <v>1</v>
      </c>
      <c r="K30">
        <f t="shared" si="1"/>
        <v>0.77000000000000046</v>
      </c>
      <c r="L30">
        <f t="shared" si="1"/>
        <v>-2.4999999999999467E-3</v>
      </c>
      <c r="M30">
        <f t="shared" si="1"/>
        <v>2.6600000000000179E-2</v>
      </c>
    </row>
    <row r="32" spans="1:13" x14ac:dyDescent="0.2">
      <c r="A32" s="4" t="s">
        <v>61</v>
      </c>
    </row>
    <row r="33" spans="1:13" x14ac:dyDescent="0.2">
      <c r="A33" t="s">
        <v>22</v>
      </c>
      <c r="B33" s="5" t="e">
        <f>IF(B13=0,NA(),ABS(B23)/B13)</f>
        <v>#N/A</v>
      </c>
      <c r="C33" s="5">
        <f t="shared" ref="C33:M33" si="2">IF(C13=0,NA(),ABS(C23)/C13)</f>
        <v>0.38709677419354827</v>
      </c>
      <c r="D33" s="5">
        <f t="shared" si="2"/>
        <v>0.35348837209302336</v>
      </c>
      <c r="E33" s="5">
        <f t="shared" si="2"/>
        <v>0.3503649635036496</v>
      </c>
      <c r="F33" s="5">
        <f t="shared" si="2"/>
        <v>0.3533043510028131</v>
      </c>
      <c r="G33" s="5">
        <f t="shared" si="2"/>
        <v>0.43720930232558142</v>
      </c>
      <c r="H33" s="5">
        <f t="shared" si="2"/>
        <v>6.8493150684931503E-2</v>
      </c>
      <c r="I33" s="5">
        <f t="shared" si="2"/>
        <v>0.15384615384615385</v>
      </c>
      <c r="J33" s="5">
        <f t="shared" si="2"/>
        <v>0.15384615384615385</v>
      </c>
      <c r="K33" s="5" t="e">
        <f t="shared" si="2"/>
        <v>#N/A</v>
      </c>
      <c r="L33" s="5">
        <f t="shared" si="2"/>
        <v>1.6312513414895893E-2</v>
      </c>
      <c r="M33" s="5">
        <f t="shared" si="2"/>
        <v>3.1525851197982423E-2</v>
      </c>
    </row>
    <row r="34" spans="1:13" x14ac:dyDescent="0.2">
      <c r="A34" t="s">
        <v>64</v>
      </c>
      <c r="B34" s="5">
        <f t="shared" ref="B34:M40" si="3">IF(B14=0,NA(),ABS(B24)/B14)</f>
        <v>5.0802139037433157E-2</v>
      </c>
      <c r="C34" s="5">
        <f t="shared" si="3"/>
        <v>1.8956043956044284E-2</v>
      </c>
      <c r="D34" s="5">
        <f t="shared" si="3"/>
        <v>9.5249578008197739E-3</v>
      </c>
      <c r="E34" s="5">
        <f t="shared" si="3"/>
        <v>9.0909090909091651E-3</v>
      </c>
      <c r="F34" s="5">
        <f t="shared" si="3"/>
        <v>9.3557062232491155E-3</v>
      </c>
      <c r="G34" s="5">
        <f t="shared" si="3"/>
        <v>1.8867924528301886E-2</v>
      </c>
      <c r="H34" s="5">
        <f t="shared" si="3"/>
        <v>1.1764705882352941E-2</v>
      </c>
      <c r="I34" s="5">
        <f t="shared" si="3"/>
        <v>3.5714285714285712E-2</v>
      </c>
      <c r="J34" s="5">
        <f t="shared" si="3"/>
        <v>7.1428571428571425E-2</v>
      </c>
      <c r="K34" s="5">
        <f t="shared" si="3"/>
        <v>4.212860310421275E-2</v>
      </c>
      <c r="L34" s="5">
        <f t="shared" si="3"/>
        <v>4.514991181657821E-3</v>
      </c>
      <c r="M34" s="5">
        <f t="shared" si="3"/>
        <v>1.7602534765005978E-2</v>
      </c>
    </row>
    <row r="35" spans="1:13" x14ac:dyDescent="0.2">
      <c r="A35" t="s">
        <v>24</v>
      </c>
      <c r="B35" s="5">
        <f t="shared" si="3"/>
        <v>0.17</v>
      </c>
      <c r="C35" s="5">
        <f t="shared" si="3"/>
        <v>6.8194070080862562E-2</v>
      </c>
      <c r="D35" s="5">
        <f t="shared" si="3"/>
        <v>6.301434281683517E-2</v>
      </c>
      <c r="E35" s="5">
        <f t="shared" si="3"/>
        <v>6.2130177514792891E-2</v>
      </c>
      <c r="F35" s="5">
        <f t="shared" si="3"/>
        <v>6.2241767988469657E-2</v>
      </c>
      <c r="G35" s="5">
        <f t="shared" si="3"/>
        <v>4.807692307692308E-2</v>
      </c>
      <c r="H35" s="5">
        <f t="shared" si="3"/>
        <v>2.3809523809523808E-2</v>
      </c>
      <c r="I35" s="5">
        <f t="shared" si="3"/>
        <v>3.5714285714285712E-2</v>
      </c>
      <c r="J35" s="5">
        <f t="shared" si="3"/>
        <v>7.1428571428571425E-2</v>
      </c>
      <c r="K35" s="5">
        <f t="shared" si="3"/>
        <v>0.11276595744680856</v>
      </c>
      <c r="L35" s="5">
        <f t="shared" si="3"/>
        <v>9.3362509117431974E-3</v>
      </c>
      <c r="M35" s="5">
        <f t="shared" si="3"/>
        <v>1.3078826440438448E-2</v>
      </c>
    </row>
    <row r="36" spans="1:13" x14ac:dyDescent="0.2">
      <c r="A36" t="s">
        <v>25</v>
      </c>
      <c r="B36" s="5">
        <f t="shared" si="3"/>
        <v>0.15625</v>
      </c>
      <c r="C36" s="5">
        <f t="shared" si="3"/>
        <v>9.4883997620464164E-2</v>
      </c>
      <c r="D36" s="5">
        <f t="shared" si="3"/>
        <v>0.10501443948542924</v>
      </c>
      <c r="E36" s="5">
        <f t="shared" si="3"/>
        <v>0.10378912685337741</v>
      </c>
      <c r="F36" s="5">
        <f t="shared" si="3"/>
        <v>0.10453383892506804</v>
      </c>
      <c r="G36" s="5">
        <f t="shared" si="3"/>
        <v>3.6363636363636362E-2</v>
      </c>
      <c r="H36" s="5">
        <f t="shared" si="3"/>
        <v>3.4482758620689655E-2</v>
      </c>
      <c r="I36" s="5">
        <f t="shared" si="3"/>
        <v>3.5714285714285712E-2</v>
      </c>
      <c r="J36" s="5">
        <f t="shared" si="3"/>
        <v>3.7037037037037035E-2</v>
      </c>
      <c r="K36" s="5">
        <f t="shared" si="3"/>
        <v>4.7619047619047658E-2</v>
      </c>
      <c r="L36" s="5">
        <f t="shared" si="3"/>
        <v>6.7607289829512765E-3</v>
      </c>
      <c r="M36" s="5">
        <f t="shared" si="3"/>
        <v>1.3574660633484214E-2</v>
      </c>
    </row>
    <row r="37" spans="1:13" x14ac:dyDescent="0.2">
      <c r="A37" t="s">
        <v>26</v>
      </c>
      <c r="B37" s="5">
        <f t="shared" si="3"/>
        <v>0.21678321678321677</v>
      </c>
      <c r="C37" s="5">
        <f t="shared" si="3"/>
        <v>9.5148247978436684E-2</v>
      </c>
      <c r="D37" s="5">
        <f t="shared" si="3"/>
        <v>0.10174315190323727</v>
      </c>
      <c r="E37" s="5">
        <f t="shared" si="3"/>
        <v>0.1013412816691506</v>
      </c>
      <c r="F37" s="5">
        <f t="shared" si="3"/>
        <v>0.10177990031366188</v>
      </c>
      <c r="G37" s="5">
        <f t="shared" si="3"/>
        <v>9.1836734693877556E-2</v>
      </c>
      <c r="H37" s="5">
        <f t="shared" si="3"/>
        <v>4.9382716049382713E-2</v>
      </c>
      <c r="I37" s="5">
        <f t="shared" si="3"/>
        <v>3.5714285714285712E-2</v>
      </c>
      <c r="J37" s="5">
        <f t="shared" si="3"/>
        <v>7.1428571428571425E-2</v>
      </c>
      <c r="K37" s="5">
        <f t="shared" si="3"/>
        <v>0.12770137524557948</v>
      </c>
      <c r="L37" s="5">
        <f t="shared" si="3"/>
        <v>1.9604851628652116E-2</v>
      </c>
      <c r="M37" s="5">
        <f t="shared" si="3"/>
        <v>1.7906458797327399E-2</v>
      </c>
    </row>
    <row r="38" spans="1:13" x14ac:dyDescent="0.2">
      <c r="A38" t="s">
        <v>27</v>
      </c>
      <c r="B38" s="5">
        <f t="shared" si="3"/>
        <v>3.0927835051546393E-2</v>
      </c>
      <c r="C38" s="5">
        <f t="shared" si="3"/>
        <v>3.8128249566724448E-2</v>
      </c>
      <c r="D38" s="5">
        <f t="shared" si="3"/>
        <v>7.5471698113207586E-2</v>
      </c>
      <c r="E38" s="5">
        <f t="shared" si="3"/>
        <v>7.5806451612903183E-2</v>
      </c>
      <c r="F38" s="5">
        <f t="shared" si="3"/>
        <v>7.5886988151983747E-2</v>
      </c>
      <c r="G38" s="5">
        <f t="shared" si="3"/>
        <v>1.7543859649122806E-2</v>
      </c>
      <c r="H38" s="5">
        <f t="shared" si="3"/>
        <v>4.49438202247191E-2</v>
      </c>
      <c r="I38" s="5">
        <f t="shared" si="3"/>
        <v>3.7037037037037035E-2</v>
      </c>
      <c r="J38" s="5">
        <f t="shared" si="3"/>
        <v>3.7037037037037035E-2</v>
      </c>
      <c r="K38" s="5">
        <f t="shared" si="3"/>
        <v>4.2780748663101636E-2</v>
      </c>
      <c r="L38" s="5">
        <f t="shared" si="3"/>
        <v>5.7750057750058231E-3</v>
      </c>
      <c r="M38" s="5">
        <f t="shared" si="3"/>
        <v>1.9948409286328364E-2</v>
      </c>
    </row>
    <row r="39" spans="1:13" x14ac:dyDescent="0.2">
      <c r="A39" t="s">
        <v>28</v>
      </c>
      <c r="B39" s="5">
        <f>IF(B19=0,NA(),ABS(B29)/B19)</f>
        <v>0.10294117647058823</v>
      </c>
      <c r="C39" s="5">
        <f t="shared" si="3"/>
        <v>4.1430777148739051E-2</v>
      </c>
      <c r="D39" s="5">
        <f t="shared" si="3"/>
        <v>8.3974807557732137E-3</v>
      </c>
      <c r="E39" s="5">
        <f t="shared" si="3"/>
        <v>8.7847730600293557E-3</v>
      </c>
      <c r="F39" s="5">
        <f t="shared" si="3"/>
        <v>9.0072277510489639E-3</v>
      </c>
      <c r="G39" s="5">
        <f t="shared" si="3"/>
        <v>3.9603960396039604E-2</v>
      </c>
      <c r="H39" s="5">
        <f t="shared" si="3"/>
        <v>5.7471264367816091E-2</v>
      </c>
      <c r="I39" s="5">
        <f t="shared" si="3"/>
        <v>3.4482758620689655E-2</v>
      </c>
      <c r="J39" s="5">
        <f t="shared" si="3"/>
        <v>3.4482758620689655E-2</v>
      </c>
      <c r="K39" s="5">
        <f t="shared" si="3"/>
        <v>9.6638655462184878E-2</v>
      </c>
      <c r="L39" s="5">
        <f t="shared" si="3"/>
        <v>1.5312422820449454E-2</v>
      </c>
      <c r="M39" s="5">
        <f t="shared" si="3"/>
        <v>1.4161315858914595E-2</v>
      </c>
    </row>
    <row r="40" spans="1:13" x14ac:dyDescent="0.2">
      <c r="A40" t="s">
        <v>29</v>
      </c>
      <c r="B40" s="5">
        <f>IF(B20=0,NA(),ABS(B30)/B20)</f>
        <v>0.2857142857142857</v>
      </c>
      <c r="C40" s="5">
        <f t="shared" si="3"/>
        <v>5.1757542208690763E-2</v>
      </c>
      <c r="D40" s="5">
        <f t="shared" si="3"/>
        <v>8.1943437273386571E-2</v>
      </c>
      <c r="E40" s="5">
        <f t="shared" si="3"/>
        <v>8.1942336874051599E-2</v>
      </c>
      <c r="F40" s="5">
        <f t="shared" si="3"/>
        <v>8.1553206504830056E-2</v>
      </c>
      <c r="G40" s="5">
        <f t="shared" si="3"/>
        <v>0.12612612612612611</v>
      </c>
      <c r="H40" s="5">
        <f t="shared" si="3"/>
        <v>4.878048780487805E-2</v>
      </c>
      <c r="I40" s="5">
        <f t="shared" si="3"/>
        <v>0</v>
      </c>
      <c r="J40" s="5">
        <f t="shared" si="3"/>
        <v>3.7037037037037035E-2</v>
      </c>
      <c r="K40" s="5">
        <f t="shared" si="3"/>
        <v>0.18965517241379323</v>
      </c>
      <c r="L40" s="5">
        <f t="shared" si="3"/>
        <v>2.0741724052102768E-3</v>
      </c>
      <c r="M40" s="5">
        <f t="shared" si="3"/>
        <v>2.3417554362179929E-2</v>
      </c>
    </row>
    <row r="41" spans="1:13" x14ac:dyDescent="0.2">
      <c r="A41" s="4" t="s">
        <v>62</v>
      </c>
      <c r="B41" s="6">
        <f>AVERAGE(B34:B40)</f>
        <v>0.1447740932938672</v>
      </c>
      <c r="C41" s="6">
        <f>AVERAGE(C33:C40)</f>
        <v>9.9449462844188777E-2</v>
      </c>
      <c r="D41" s="6">
        <f>AVERAGE(D33:D40)</f>
        <v>9.982473503021401E-2</v>
      </c>
      <c r="E41" s="6">
        <f t="shared" ref="E41:M41" si="4">AVERAGE(E33:E40)</f>
        <v>9.9156252522357977E-2</v>
      </c>
      <c r="F41" s="6">
        <f t="shared" si="4"/>
        <v>9.9707873357640558E-2</v>
      </c>
      <c r="G41" s="6">
        <f t="shared" si="4"/>
        <v>0.10195355839495113</v>
      </c>
      <c r="H41" s="6">
        <f t="shared" si="4"/>
        <v>4.2391053430536729E-2</v>
      </c>
      <c r="I41" s="6">
        <f t="shared" si="4"/>
        <v>4.6027886545127919E-2</v>
      </c>
      <c r="J41" s="6">
        <f t="shared" si="4"/>
        <v>6.4215717232958602E-2</v>
      </c>
      <c r="K41" s="6">
        <f>AVERAGE(K34:K40)</f>
        <v>9.4184222850675473E-2</v>
      </c>
      <c r="L41" s="6">
        <f t="shared" si="4"/>
        <v>9.9613671400707333E-3</v>
      </c>
      <c r="M41" s="6">
        <f>AVERAGE(M33:M40)</f>
        <v>1.8901951417707667E-2</v>
      </c>
    </row>
    <row r="42" spans="1:13" x14ac:dyDescent="0.2">
      <c r="A42" s="4" t="s">
        <v>63</v>
      </c>
      <c r="B42" s="6">
        <f>MAX(B34:B40)</f>
        <v>0.2857142857142857</v>
      </c>
      <c r="C42" s="6">
        <f>MAX(C33:C40)</f>
        <v>0.38709677419354827</v>
      </c>
      <c r="D42" s="6">
        <f>MAX(D33:D40)</f>
        <v>0.35348837209302336</v>
      </c>
      <c r="E42" s="6">
        <f t="shared" ref="E42:J42" si="5">MAX(E33:E40)</f>
        <v>0.3503649635036496</v>
      </c>
      <c r="F42" s="6">
        <f t="shared" si="5"/>
        <v>0.3533043510028131</v>
      </c>
      <c r="G42" s="6">
        <f t="shared" si="5"/>
        <v>0.43720930232558142</v>
      </c>
      <c r="H42" s="6">
        <f t="shared" si="5"/>
        <v>6.8493150684931503E-2</v>
      </c>
      <c r="I42" s="6">
        <f t="shared" si="5"/>
        <v>0.15384615384615385</v>
      </c>
      <c r="J42" s="6">
        <f t="shared" si="5"/>
        <v>0.15384615384615385</v>
      </c>
      <c r="K42" s="6">
        <f>MAX(K34:K40)</f>
        <v>0.18965517241379323</v>
      </c>
      <c r="L42" s="6">
        <f t="shared" ref="L42:M42" si="6">MAX(L33:L40)</f>
        <v>1.9604851628652116E-2</v>
      </c>
      <c r="M42" s="6">
        <f t="shared" si="6"/>
        <v>3.1525851197982423E-2</v>
      </c>
    </row>
    <row r="43" spans="1:13" x14ac:dyDescent="0.2">
      <c r="A43" s="10" t="s">
        <v>70</v>
      </c>
      <c r="B43" s="12">
        <f>SQRT(SUMSQ(B23:B30)/COUNTA(B23:B30))</f>
        <v>20.679095724910216</v>
      </c>
      <c r="C43" s="12">
        <f t="shared" ref="C43:M43" si="7">SQRT(SUMSQ(C23:C30)/COUNTA(C23:C30))</f>
        <v>2.4258967414133696</v>
      </c>
      <c r="D43" s="12">
        <f t="shared" si="7"/>
        <v>2.1707314435461607</v>
      </c>
      <c r="E43" s="12">
        <f t="shared" si="7"/>
        <v>0.47246693005966056</v>
      </c>
      <c r="F43" s="12">
        <f t="shared" si="7"/>
        <v>0.94798310836744393</v>
      </c>
      <c r="G43" s="13">
        <f>SQRT(SUMSQ(G23:G30)/COUNTA(G23:G30))</f>
        <v>66.788846374226281</v>
      </c>
      <c r="H43" s="12">
        <f t="shared" si="7"/>
        <v>6.2449979983983983</v>
      </c>
      <c r="I43" s="12">
        <f t="shared" si="7"/>
        <v>1.6583123951776999</v>
      </c>
      <c r="J43" s="12">
        <f t="shared" si="7"/>
        <v>2</v>
      </c>
      <c r="K43" s="12">
        <f t="shared" si="7"/>
        <v>0.51060013709359697</v>
      </c>
      <c r="L43" s="12">
        <f t="shared" si="7"/>
        <v>1.4095344976267877E-2</v>
      </c>
      <c r="M43" s="12">
        <f t="shared" si="7"/>
        <v>2.2851887230598725E-2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1"/>
  <sheetViews>
    <sheetView topLeftCell="A15" zoomScale="95" zoomScaleNormal="95" workbookViewId="0">
      <selection activeCell="G57" sqref="G57"/>
    </sheetView>
  </sheetViews>
  <sheetFormatPr baseColWidth="10" defaultColWidth="8.83203125" defaultRowHeight="15" x14ac:dyDescent="0.2"/>
  <cols>
    <col min="1" max="1" width="16" customWidth="1"/>
    <col min="2" max="2" width="9.6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7" t="s">
        <v>58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2">
      <c r="A3" t="s">
        <v>30</v>
      </c>
      <c r="B3">
        <v>39</v>
      </c>
      <c r="C3">
        <v>32.42</v>
      </c>
      <c r="D3">
        <v>8.76</v>
      </c>
      <c r="E3">
        <v>5.56</v>
      </c>
      <c r="F3">
        <v>11.1204</v>
      </c>
      <c r="G3">
        <v>104</v>
      </c>
      <c r="H3">
        <v>80</v>
      </c>
      <c r="I3">
        <v>30</v>
      </c>
      <c r="J3">
        <v>30</v>
      </c>
      <c r="K3">
        <v>4.45</v>
      </c>
      <c r="L3">
        <v>1.2408999999999999</v>
      </c>
      <c r="M3">
        <v>1.1407</v>
      </c>
    </row>
    <row r="4" spans="1:13" x14ac:dyDescent="0.2">
      <c r="A4" t="s">
        <v>31</v>
      </c>
      <c r="B4">
        <v>47</v>
      </c>
      <c r="C4">
        <v>34.119999999999997</v>
      </c>
      <c r="D4">
        <v>10.33</v>
      </c>
      <c r="E4">
        <v>6.5500000000000007</v>
      </c>
      <c r="F4">
        <v>13.108599999999999</v>
      </c>
      <c r="G4">
        <v>98</v>
      </c>
      <c r="H4">
        <v>82</v>
      </c>
      <c r="I4">
        <v>28</v>
      </c>
      <c r="J4">
        <v>28</v>
      </c>
      <c r="K4">
        <v>4.55</v>
      </c>
      <c r="L4">
        <v>1.2787999999999999</v>
      </c>
      <c r="M4">
        <v>1.1366000000000001</v>
      </c>
    </row>
    <row r="5" spans="1:13" x14ac:dyDescent="0.2">
      <c r="A5" t="s">
        <v>32</v>
      </c>
      <c r="B5">
        <v>40</v>
      </c>
      <c r="C5">
        <v>37.51</v>
      </c>
      <c r="D5">
        <v>10.37</v>
      </c>
      <c r="E5">
        <v>6.58</v>
      </c>
      <c r="F5">
        <v>13.155200000000001</v>
      </c>
      <c r="G5">
        <v>110</v>
      </c>
      <c r="H5">
        <v>76</v>
      </c>
      <c r="I5">
        <v>30</v>
      </c>
      <c r="J5">
        <v>30</v>
      </c>
      <c r="K5">
        <v>3.86</v>
      </c>
      <c r="L5">
        <v>1.2796000000000001</v>
      </c>
      <c r="M5">
        <v>1.1587000000000001</v>
      </c>
    </row>
    <row r="6" spans="1:13" x14ac:dyDescent="0.2">
      <c r="A6" t="s">
        <v>33</v>
      </c>
      <c r="B6">
        <v>32</v>
      </c>
      <c r="C6">
        <v>34.01</v>
      </c>
      <c r="D6">
        <v>10.11</v>
      </c>
      <c r="E6">
        <v>6.45</v>
      </c>
      <c r="F6">
        <v>12.909599999999999</v>
      </c>
      <c r="G6">
        <v>116</v>
      </c>
      <c r="H6">
        <v>85</v>
      </c>
      <c r="I6">
        <v>27</v>
      </c>
      <c r="J6">
        <v>28</v>
      </c>
      <c r="K6">
        <v>3.17</v>
      </c>
      <c r="L6">
        <v>1.2773000000000001</v>
      </c>
      <c r="M6">
        <v>1.1722999999999999</v>
      </c>
    </row>
    <row r="7" spans="1:13" x14ac:dyDescent="0.2">
      <c r="A7" t="s">
        <v>34</v>
      </c>
      <c r="B7">
        <v>32</v>
      </c>
      <c r="C7">
        <v>36.32</v>
      </c>
      <c r="D7">
        <v>9.9</v>
      </c>
      <c r="E7">
        <v>6.2799999999999994</v>
      </c>
      <c r="F7">
        <v>12.5565</v>
      </c>
      <c r="G7">
        <v>114</v>
      </c>
      <c r="H7">
        <v>92</v>
      </c>
      <c r="I7">
        <v>28</v>
      </c>
      <c r="J7">
        <v>28</v>
      </c>
      <c r="K7">
        <v>3.23</v>
      </c>
      <c r="L7">
        <v>1.2698</v>
      </c>
      <c r="M7">
        <v>1.1831</v>
      </c>
    </row>
    <row r="8" spans="1:13" x14ac:dyDescent="0.2">
      <c r="A8" t="s">
        <v>35</v>
      </c>
      <c r="B8">
        <v>51</v>
      </c>
      <c r="C8">
        <v>38</v>
      </c>
      <c r="D8">
        <v>10.8</v>
      </c>
      <c r="E8">
        <v>6.9</v>
      </c>
      <c r="F8">
        <v>13.796799999999999</v>
      </c>
      <c r="G8">
        <v>96</v>
      </c>
      <c r="H8">
        <v>77</v>
      </c>
      <c r="I8">
        <v>29</v>
      </c>
      <c r="J8">
        <v>28</v>
      </c>
      <c r="K8">
        <v>4.72</v>
      </c>
      <c r="L8">
        <v>1.2853000000000001</v>
      </c>
      <c r="M8">
        <v>1.1798999999999999</v>
      </c>
    </row>
    <row r="9" spans="1:13" x14ac:dyDescent="0.2">
      <c r="A9" t="s">
        <v>36</v>
      </c>
      <c r="B9">
        <v>49</v>
      </c>
      <c r="C9">
        <v>37.590000000000003</v>
      </c>
      <c r="D9">
        <v>11.45</v>
      </c>
      <c r="E9">
        <v>7.28</v>
      </c>
      <c r="F9">
        <v>14.5687</v>
      </c>
      <c r="G9">
        <v>105</v>
      </c>
      <c r="H9">
        <v>87</v>
      </c>
      <c r="I9">
        <v>28</v>
      </c>
      <c r="J9">
        <v>28</v>
      </c>
      <c r="K9">
        <v>4.28</v>
      </c>
      <c r="L9">
        <v>1.2999000000000001</v>
      </c>
      <c r="M9">
        <v>1.1672</v>
      </c>
    </row>
    <row r="10" spans="1:13" x14ac:dyDescent="0.2">
      <c r="A10" t="s">
        <v>37</v>
      </c>
      <c r="B10">
        <v>45</v>
      </c>
      <c r="C10">
        <v>35.33</v>
      </c>
      <c r="D10">
        <v>10.130000000000001</v>
      </c>
      <c r="E10">
        <v>6.4600000000000009</v>
      </c>
      <c r="F10">
        <v>12.911199999999999</v>
      </c>
      <c r="G10">
        <v>108</v>
      </c>
      <c r="H10">
        <v>95</v>
      </c>
      <c r="I10">
        <v>29</v>
      </c>
      <c r="J10">
        <v>30</v>
      </c>
      <c r="K10">
        <v>4.4400000000000004</v>
      </c>
      <c r="L10">
        <v>1.2722</v>
      </c>
      <c r="M10">
        <v>1.137</v>
      </c>
    </row>
    <row r="11" spans="1:13" x14ac:dyDescent="0.2">
      <c r="A11" t="s">
        <v>38</v>
      </c>
      <c r="B11">
        <v>84</v>
      </c>
      <c r="C11">
        <v>33.950000000000003</v>
      </c>
      <c r="D11">
        <v>18.920000000000002</v>
      </c>
      <c r="E11">
        <v>6.01</v>
      </c>
      <c r="F11">
        <v>12.0299</v>
      </c>
      <c r="G11">
        <v>108</v>
      </c>
      <c r="H11">
        <v>92</v>
      </c>
      <c r="I11">
        <v>30</v>
      </c>
      <c r="J11">
        <v>30</v>
      </c>
      <c r="K11">
        <v>4.4400000000000004</v>
      </c>
      <c r="L11">
        <v>1.2463</v>
      </c>
      <c r="M11">
        <v>1.1452</v>
      </c>
    </row>
    <row r="12" spans="1:13" x14ac:dyDescent="0.2">
      <c r="A12" t="s">
        <v>39</v>
      </c>
      <c r="B12">
        <v>65</v>
      </c>
      <c r="C12">
        <v>35.17</v>
      </c>
      <c r="D12">
        <v>20.010000000000002</v>
      </c>
      <c r="E12">
        <v>6.370000000000001</v>
      </c>
      <c r="F12">
        <v>12.735300000000001</v>
      </c>
      <c r="G12">
        <v>117</v>
      </c>
      <c r="H12">
        <v>87</v>
      </c>
      <c r="I12">
        <v>28</v>
      </c>
      <c r="J12">
        <v>28</v>
      </c>
      <c r="K12">
        <v>3.25</v>
      </c>
      <c r="L12">
        <v>1.2618</v>
      </c>
      <c r="M12">
        <v>1.1752</v>
      </c>
    </row>
    <row r="14" spans="1:13" x14ac:dyDescent="0.2">
      <c r="A14" s="3" t="s">
        <v>59</v>
      </c>
    </row>
    <row r="15" spans="1:13" x14ac:dyDescent="0.2">
      <c r="A15" t="s">
        <v>30</v>
      </c>
      <c r="B15">
        <v>60</v>
      </c>
      <c r="C15">
        <v>39.1</v>
      </c>
      <c r="D15">
        <v>10.94</v>
      </c>
      <c r="E15">
        <v>6.9500000000000011</v>
      </c>
      <c r="F15">
        <v>13.906599999999999</v>
      </c>
      <c r="G15">
        <v>96</v>
      </c>
      <c r="H15">
        <v>81</v>
      </c>
      <c r="I15">
        <v>29</v>
      </c>
      <c r="J15">
        <v>29</v>
      </c>
      <c r="K15">
        <v>5.48</v>
      </c>
      <c r="L15">
        <v>1.2861</v>
      </c>
      <c r="M15">
        <v>1.1237999999999999</v>
      </c>
    </row>
    <row r="16" spans="1:13" x14ac:dyDescent="0.2">
      <c r="A16" t="s">
        <v>31</v>
      </c>
      <c r="B16">
        <v>50</v>
      </c>
      <c r="C16">
        <v>36.11</v>
      </c>
      <c r="D16">
        <v>10.3</v>
      </c>
      <c r="E16">
        <v>6.5699999999999994</v>
      </c>
      <c r="F16">
        <v>13.1394</v>
      </c>
      <c r="G16">
        <v>94</v>
      </c>
      <c r="H16">
        <v>82</v>
      </c>
      <c r="I16">
        <v>27</v>
      </c>
      <c r="J16">
        <v>26</v>
      </c>
      <c r="K16">
        <v>4.8499999999999996</v>
      </c>
      <c r="L16">
        <v>1.2823</v>
      </c>
      <c r="M16">
        <v>1.1233</v>
      </c>
    </row>
    <row r="17" spans="1:13" x14ac:dyDescent="0.2">
      <c r="A17" t="s">
        <v>32</v>
      </c>
      <c r="B17">
        <v>31</v>
      </c>
      <c r="C17">
        <v>28.999999999999996</v>
      </c>
      <c r="D17">
        <v>8.0299999999999994</v>
      </c>
      <c r="E17">
        <v>5.0999999999999996</v>
      </c>
      <c r="F17">
        <v>10.1991</v>
      </c>
      <c r="G17">
        <v>110</v>
      </c>
      <c r="H17">
        <v>77</v>
      </c>
      <c r="I17">
        <v>29</v>
      </c>
      <c r="J17">
        <v>28</v>
      </c>
      <c r="K17">
        <v>3.86</v>
      </c>
      <c r="L17">
        <v>1.2221</v>
      </c>
      <c r="M17">
        <v>1.1399999999999999</v>
      </c>
    </row>
    <row r="18" spans="1:13" x14ac:dyDescent="0.2">
      <c r="A18" t="s">
        <v>33</v>
      </c>
      <c r="B18">
        <v>36</v>
      </c>
      <c r="C18">
        <v>34.44</v>
      </c>
      <c r="D18">
        <v>10.220000000000001</v>
      </c>
      <c r="E18">
        <v>6.5</v>
      </c>
      <c r="F18">
        <v>13.0067</v>
      </c>
      <c r="G18">
        <v>119</v>
      </c>
      <c r="H18">
        <v>88</v>
      </c>
      <c r="I18">
        <v>27</v>
      </c>
      <c r="J18">
        <v>27</v>
      </c>
      <c r="K18">
        <v>3.52</v>
      </c>
      <c r="L18">
        <v>1.2698</v>
      </c>
      <c r="M18">
        <v>1.1571</v>
      </c>
    </row>
    <row r="19" spans="1:13" x14ac:dyDescent="0.2">
      <c r="A19" t="s">
        <v>34</v>
      </c>
      <c r="B19">
        <v>24</v>
      </c>
      <c r="C19">
        <v>29.709999999999997</v>
      </c>
      <c r="D19">
        <v>8.11</v>
      </c>
      <c r="E19">
        <v>5.17</v>
      </c>
      <c r="F19">
        <v>10.3424</v>
      </c>
      <c r="G19">
        <v>123</v>
      </c>
      <c r="H19">
        <v>94</v>
      </c>
      <c r="I19">
        <v>26</v>
      </c>
      <c r="J19">
        <v>26</v>
      </c>
      <c r="K19">
        <v>2.96</v>
      </c>
      <c r="L19">
        <v>1.2532000000000001</v>
      </c>
      <c r="M19">
        <v>1.1646000000000001</v>
      </c>
    </row>
    <row r="20" spans="1:13" x14ac:dyDescent="0.2">
      <c r="A20" t="s">
        <v>35</v>
      </c>
      <c r="B20">
        <v>32</v>
      </c>
      <c r="C20">
        <v>28.549999999999997</v>
      </c>
      <c r="D20">
        <v>7.81</v>
      </c>
      <c r="E20">
        <v>4.96</v>
      </c>
      <c r="F20">
        <v>9.9240999999999993</v>
      </c>
      <c r="G20">
        <v>108</v>
      </c>
      <c r="H20">
        <v>78</v>
      </c>
      <c r="I20">
        <v>27</v>
      </c>
      <c r="J20">
        <v>27</v>
      </c>
      <c r="K20">
        <v>4.0999999999999996</v>
      </c>
      <c r="L20">
        <v>1.2413000000000001</v>
      </c>
      <c r="M20">
        <v>1.1698999999999999</v>
      </c>
    </row>
    <row r="21" spans="1:13" x14ac:dyDescent="0.2">
      <c r="A21" t="s">
        <v>36</v>
      </c>
      <c r="B21">
        <v>37</v>
      </c>
      <c r="C21">
        <v>35.14</v>
      </c>
      <c r="D21">
        <v>10.32</v>
      </c>
      <c r="E21">
        <v>6.59</v>
      </c>
      <c r="F21">
        <v>13.1708</v>
      </c>
      <c r="G21">
        <v>116</v>
      </c>
      <c r="H21">
        <v>83</v>
      </c>
      <c r="I21">
        <v>27</v>
      </c>
      <c r="J21">
        <v>26</v>
      </c>
      <c r="K21">
        <v>3.59</v>
      </c>
      <c r="L21">
        <v>1.2706999999999999</v>
      </c>
      <c r="M21">
        <v>1.1580999999999999</v>
      </c>
    </row>
    <row r="22" spans="1:13" x14ac:dyDescent="0.2">
      <c r="A22" t="s">
        <v>37</v>
      </c>
      <c r="B22">
        <v>43</v>
      </c>
      <c r="C22">
        <v>32.090000000000003</v>
      </c>
      <c r="D22">
        <v>9.18</v>
      </c>
      <c r="E22">
        <v>5.8500000000000005</v>
      </c>
      <c r="F22">
        <v>11.692</v>
      </c>
      <c r="G22">
        <v>100</v>
      </c>
      <c r="H22">
        <v>87</v>
      </c>
      <c r="I22">
        <v>28</v>
      </c>
      <c r="J22">
        <v>27</v>
      </c>
      <c r="K22">
        <v>4.68</v>
      </c>
      <c r="L22">
        <v>1.2619</v>
      </c>
      <c r="M22">
        <v>1.1323000000000001</v>
      </c>
    </row>
    <row r="23" spans="1:13" x14ac:dyDescent="0.2">
      <c r="A23" t="s">
        <v>38</v>
      </c>
      <c r="B23">
        <v>111</v>
      </c>
      <c r="C23">
        <v>38.01</v>
      </c>
      <c r="D23">
        <v>21.51</v>
      </c>
      <c r="E23">
        <v>6.84</v>
      </c>
      <c r="F23">
        <v>13.684699999999999</v>
      </c>
      <c r="G23">
        <v>98</v>
      </c>
      <c r="H23">
        <v>83</v>
      </c>
      <c r="I23">
        <v>29</v>
      </c>
      <c r="J23">
        <v>29</v>
      </c>
      <c r="K23">
        <v>5.16</v>
      </c>
      <c r="L23">
        <v>1.2745</v>
      </c>
      <c r="M23">
        <v>1.1201000000000001</v>
      </c>
    </row>
    <row r="24" spans="1:13" x14ac:dyDescent="0.2">
      <c r="A24" t="s">
        <v>39</v>
      </c>
      <c r="B24">
        <v>65</v>
      </c>
      <c r="C24">
        <v>33.619999999999997</v>
      </c>
      <c r="D24">
        <v>19.190000000000001</v>
      </c>
      <c r="E24">
        <v>6.11</v>
      </c>
      <c r="F24">
        <v>12.223699999999999</v>
      </c>
      <c r="G24">
        <v>118</v>
      </c>
      <c r="H24">
        <v>90</v>
      </c>
      <c r="I24">
        <v>26</v>
      </c>
      <c r="J24">
        <v>26</v>
      </c>
      <c r="K24">
        <v>3.39</v>
      </c>
      <c r="L24">
        <v>1.2599</v>
      </c>
      <c r="M24">
        <v>1.1576</v>
      </c>
    </row>
    <row r="26" spans="1:13" x14ac:dyDescent="0.2">
      <c r="A26" s="3" t="s">
        <v>60</v>
      </c>
    </row>
    <row r="27" spans="1:13" x14ac:dyDescent="0.2">
      <c r="A27" t="s">
        <v>30</v>
      </c>
      <c r="B27">
        <f>B3-B15</f>
        <v>-21</v>
      </c>
      <c r="C27">
        <f t="shared" ref="C27:M27" si="0">C3-C15</f>
        <v>-6.68</v>
      </c>
      <c r="D27">
        <f t="shared" si="0"/>
        <v>-2.1799999999999997</v>
      </c>
      <c r="E27">
        <f t="shared" si="0"/>
        <v>-1.3900000000000015</v>
      </c>
      <c r="F27">
        <f t="shared" si="0"/>
        <v>-2.7861999999999991</v>
      </c>
      <c r="G27">
        <f t="shared" si="0"/>
        <v>8</v>
      </c>
      <c r="H27">
        <f t="shared" si="0"/>
        <v>-1</v>
      </c>
      <c r="I27">
        <f t="shared" si="0"/>
        <v>1</v>
      </c>
      <c r="J27">
        <f t="shared" si="0"/>
        <v>1</v>
      </c>
      <c r="K27">
        <f t="shared" si="0"/>
        <v>-1.0300000000000002</v>
      </c>
      <c r="L27">
        <f t="shared" si="0"/>
        <v>-4.5200000000000129E-2</v>
      </c>
      <c r="M27">
        <f t="shared" si="0"/>
        <v>1.6900000000000137E-2</v>
      </c>
    </row>
    <row r="28" spans="1:13" x14ac:dyDescent="0.2">
      <c r="A28" t="s">
        <v>31</v>
      </c>
      <c r="B28">
        <f t="shared" ref="B28:M36" si="1">B4-B16</f>
        <v>-3</v>
      </c>
      <c r="C28">
        <f t="shared" si="1"/>
        <v>-1.990000000000002</v>
      </c>
      <c r="D28">
        <f t="shared" si="1"/>
        <v>2.9999999999999361E-2</v>
      </c>
      <c r="E28">
        <f t="shared" si="1"/>
        <v>-1.9999999999998685E-2</v>
      </c>
      <c r="F28">
        <f t="shared" si="1"/>
        <v>-3.0800000000001049E-2</v>
      </c>
      <c r="G28">
        <f t="shared" si="1"/>
        <v>4</v>
      </c>
      <c r="H28">
        <f t="shared" si="1"/>
        <v>0</v>
      </c>
      <c r="I28">
        <f t="shared" si="1"/>
        <v>1</v>
      </c>
      <c r="J28">
        <f t="shared" si="1"/>
        <v>2</v>
      </c>
      <c r="K28">
        <f t="shared" si="1"/>
        <v>-0.29999999999999982</v>
      </c>
      <c r="L28">
        <f t="shared" si="1"/>
        <v>-3.5000000000000586E-3</v>
      </c>
      <c r="M28">
        <f t="shared" si="1"/>
        <v>1.330000000000009E-2</v>
      </c>
    </row>
    <row r="29" spans="1:13" x14ac:dyDescent="0.2">
      <c r="A29" t="s">
        <v>32</v>
      </c>
      <c r="B29">
        <f t="shared" si="1"/>
        <v>9</v>
      </c>
      <c r="C29">
        <f t="shared" si="1"/>
        <v>8.5100000000000016</v>
      </c>
      <c r="D29">
        <f t="shared" si="1"/>
        <v>2.34</v>
      </c>
      <c r="E29">
        <f t="shared" si="1"/>
        <v>1.4800000000000004</v>
      </c>
      <c r="F29">
        <f t="shared" si="1"/>
        <v>2.9561000000000011</v>
      </c>
      <c r="G29">
        <f t="shared" si="1"/>
        <v>0</v>
      </c>
      <c r="H29">
        <f t="shared" si="1"/>
        <v>-1</v>
      </c>
      <c r="I29">
        <f t="shared" si="1"/>
        <v>1</v>
      </c>
      <c r="J29">
        <f t="shared" si="1"/>
        <v>2</v>
      </c>
      <c r="K29">
        <f t="shared" si="1"/>
        <v>0</v>
      </c>
      <c r="L29">
        <f t="shared" si="1"/>
        <v>5.7500000000000107E-2</v>
      </c>
      <c r="M29">
        <f t="shared" si="1"/>
        <v>1.8700000000000161E-2</v>
      </c>
    </row>
    <row r="30" spans="1:13" x14ac:dyDescent="0.2">
      <c r="A30" t="s">
        <v>33</v>
      </c>
      <c r="B30">
        <f>B6-B18</f>
        <v>-4</v>
      </c>
      <c r="C30">
        <f t="shared" si="1"/>
        <v>-0.42999999999999972</v>
      </c>
      <c r="D30">
        <f t="shared" si="1"/>
        <v>-0.11000000000000121</v>
      </c>
      <c r="E30">
        <f t="shared" si="1"/>
        <v>-4.9999999999999822E-2</v>
      </c>
      <c r="F30">
        <f t="shared" si="1"/>
        <v>-9.7100000000001074E-2</v>
      </c>
      <c r="G30">
        <f t="shared" si="1"/>
        <v>-3</v>
      </c>
      <c r="H30">
        <f t="shared" si="1"/>
        <v>-3</v>
      </c>
      <c r="I30">
        <f t="shared" si="1"/>
        <v>0</v>
      </c>
      <c r="J30">
        <f>J6-J18</f>
        <v>1</v>
      </c>
      <c r="K30">
        <f t="shared" si="1"/>
        <v>-0.35000000000000009</v>
      </c>
      <c r="L30">
        <f t="shared" si="1"/>
        <v>7.5000000000000622E-3</v>
      </c>
      <c r="M30">
        <f t="shared" si="1"/>
        <v>1.519999999999988E-2</v>
      </c>
    </row>
    <row r="31" spans="1:13" x14ac:dyDescent="0.2">
      <c r="A31" t="s">
        <v>34</v>
      </c>
      <c r="B31">
        <f t="shared" si="1"/>
        <v>8</v>
      </c>
      <c r="C31">
        <f t="shared" si="1"/>
        <v>6.610000000000003</v>
      </c>
      <c r="D31">
        <f t="shared" si="1"/>
        <v>1.7900000000000009</v>
      </c>
      <c r="E31">
        <f t="shared" si="1"/>
        <v>1.1099999999999994</v>
      </c>
      <c r="F31">
        <f t="shared" si="1"/>
        <v>2.2141000000000002</v>
      </c>
      <c r="G31">
        <f>G7-G19</f>
        <v>-9</v>
      </c>
      <c r="H31">
        <f t="shared" si="1"/>
        <v>-2</v>
      </c>
      <c r="I31">
        <f t="shared" si="1"/>
        <v>2</v>
      </c>
      <c r="J31">
        <f t="shared" si="1"/>
        <v>2</v>
      </c>
      <c r="K31">
        <f t="shared" si="1"/>
        <v>0.27</v>
      </c>
      <c r="L31">
        <f t="shared" si="1"/>
        <v>1.6599999999999948E-2</v>
      </c>
      <c r="M31">
        <f t="shared" si="1"/>
        <v>1.8499999999999961E-2</v>
      </c>
    </row>
    <row r="32" spans="1:13" x14ac:dyDescent="0.2">
      <c r="A32" t="s">
        <v>35</v>
      </c>
      <c r="B32">
        <f t="shared" si="1"/>
        <v>19</v>
      </c>
      <c r="C32">
        <f t="shared" si="1"/>
        <v>9.4500000000000028</v>
      </c>
      <c r="D32">
        <f t="shared" si="1"/>
        <v>2.9900000000000011</v>
      </c>
      <c r="E32">
        <f t="shared" si="1"/>
        <v>1.9400000000000004</v>
      </c>
      <c r="F32">
        <f t="shared" si="1"/>
        <v>3.8727</v>
      </c>
      <c r="G32">
        <f t="shared" si="1"/>
        <v>-12</v>
      </c>
      <c r="H32">
        <f t="shared" si="1"/>
        <v>-1</v>
      </c>
      <c r="I32">
        <f t="shared" si="1"/>
        <v>2</v>
      </c>
      <c r="J32">
        <f t="shared" si="1"/>
        <v>1</v>
      </c>
      <c r="K32">
        <f t="shared" si="1"/>
        <v>0.62000000000000011</v>
      </c>
      <c r="L32">
        <f t="shared" si="1"/>
        <v>4.4000000000000039E-2</v>
      </c>
      <c r="M32">
        <f t="shared" si="1"/>
        <v>1.0000000000000009E-2</v>
      </c>
    </row>
    <row r="33" spans="1:13" x14ac:dyDescent="0.2">
      <c r="A33" t="s">
        <v>36</v>
      </c>
      <c r="B33">
        <f t="shared" si="1"/>
        <v>12</v>
      </c>
      <c r="C33">
        <f t="shared" si="1"/>
        <v>2.4500000000000028</v>
      </c>
      <c r="D33">
        <f t="shared" si="1"/>
        <v>1.129999999999999</v>
      </c>
      <c r="E33">
        <f t="shared" si="1"/>
        <v>0.69000000000000039</v>
      </c>
      <c r="F33">
        <f t="shared" si="1"/>
        <v>1.3978999999999999</v>
      </c>
      <c r="G33">
        <f t="shared" si="1"/>
        <v>-11</v>
      </c>
      <c r="H33">
        <f t="shared" si="1"/>
        <v>4</v>
      </c>
      <c r="I33">
        <f t="shared" si="1"/>
        <v>1</v>
      </c>
      <c r="J33">
        <f t="shared" si="1"/>
        <v>2</v>
      </c>
      <c r="K33">
        <f t="shared" si="1"/>
        <v>0.69000000000000039</v>
      </c>
      <c r="L33">
        <f>L9-L21</f>
        <v>2.9200000000000115E-2</v>
      </c>
      <c r="M33">
        <f t="shared" si="1"/>
        <v>9.100000000000108E-3</v>
      </c>
    </row>
    <row r="34" spans="1:13" x14ac:dyDescent="0.2">
      <c r="A34" t="s">
        <v>37</v>
      </c>
      <c r="B34">
        <f t="shared" si="1"/>
        <v>2</v>
      </c>
      <c r="C34">
        <f t="shared" si="1"/>
        <v>3.2399999999999949</v>
      </c>
      <c r="D34">
        <f t="shared" si="1"/>
        <v>0.95000000000000107</v>
      </c>
      <c r="E34">
        <f t="shared" si="1"/>
        <v>0.61000000000000032</v>
      </c>
      <c r="F34">
        <f t="shared" si="1"/>
        <v>1.219199999999999</v>
      </c>
      <c r="G34">
        <f t="shared" si="1"/>
        <v>8</v>
      </c>
      <c r="H34">
        <f t="shared" si="1"/>
        <v>8</v>
      </c>
      <c r="I34">
        <f t="shared" si="1"/>
        <v>1</v>
      </c>
      <c r="J34">
        <f t="shared" si="1"/>
        <v>3</v>
      </c>
      <c r="K34">
        <f t="shared" si="1"/>
        <v>-0.23999999999999932</v>
      </c>
      <c r="L34">
        <f t="shared" si="1"/>
        <v>1.0299999999999976E-2</v>
      </c>
      <c r="M34">
        <f t="shared" si="1"/>
        <v>4.6999999999999265E-3</v>
      </c>
    </row>
    <row r="35" spans="1:13" x14ac:dyDescent="0.2">
      <c r="A35" t="s">
        <v>38</v>
      </c>
      <c r="B35">
        <f t="shared" si="1"/>
        <v>-27</v>
      </c>
      <c r="C35">
        <f t="shared" si="1"/>
        <v>-4.0599999999999952</v>
      </c>
      <c r="D35">
        <f t="shared" si="1"/>
        <v>-2.59</v>
      </c>
      <c r="E35">
        <f t="shared" si="1"/>
        <v>-0.83000000000000007</v>
      </c>
      <c r="F35">
        <f t="shared" si="1"/>
        <v>-1.6547999999999998</v>
      </c>
      <c r="G35">
        <f t="shared" si="1"/>
        <v>10</v>
      </c>
      <c r="H35">
        <f t="shared" si="1"/>
        <v>9</v>
      </c>
      <c r="I35">
        <f t="shared" si="1"/>
        <v>1</v>
      </c>
      <c r="J35">
        <f t="shared" si="1"/>
        <v>1</v>
      </c>
      <c r="K35">
        <f t="shared" si="1"/>
        <v>-0.71999999999999975</v>
      </c>
      <c r="L35">
        <f t="shared" si="1"/>
        <v>-2.8200000000000003E-2</v>
      </c>
      <c r="M35">
        <f t="shared" si="1"/>
        <v>2.50999999999999E-2</v>
      </c>
    </row>
    <row r="36" spans="1:13" x14ac:dyDescent="0.2">
      <c r="A36" t="s">
        <v>39</v>
      </c>
      <c r="B36">
        <f t="shared" si="1"/>
        <v>0</v>
      </c>
      <c r="C36">
        <f t="shared" si="1"/>
        <v>1.5500000000000043</v>
      </c>
      <c r="D36">
        <f t="shared" si="1"/>
        <v>0.82000000000000028</v>
      </c>
      <c r="E36">
        <f t="shared" si="1"/>
        <v>0.26000000000000068</v>
      </c>
      <c r="F36">
        <f t="shared" si="1"/>
        <v>0.51160000000000139</v>
      </c>
      <c r="G36">
        <f t="shared" si="1"/>
        <v>-1</v>
      </c>
      <c r="H36">
        <f t="shared" si="1"/>
        <v>-3</v>
      </c>
      <c r="I36">
        <f t="shared" si="1"/>
        <v>2</v>
      </c>
      <c r="J36">
        <f t="shared" si="1"/>
        <v>2</v>
      </c>
      <c r="K36">
        <f t="shared" si="1"/>
        <v>-0.14000000000000012</v>
      </c>
      <c r="L36">
        <f t="shared" si="1"/>
        <v>1.9000000000000128E-3</v>
      </c>
      <c r="M36">
        <f t="shared" si="1"/>
        <v>1.760000000000006E-2</v>
      </c>
    </row>
    <row r="38" spans="1:13" x14ac:dyDescent="0.2">
      <c r="A38" s="4" t="s">
        <v>61</v>
      </c>
    </row>
    <row r="39" spans="1:13" x14ac:dyDescent="0.2">
      <c r="A39" t="s">
        <v>30</v>
      </c>
      <c r="B39" s="5">
        <f>ABS(B27)/B15</f>
        <v>0.35</v>
      </c>
      <c r="C39" s="5">
        <f t="shared" ref="C39:M39" si="2">ABS(C27)/C15</f>
        <v>0.17084398976982096</v>
      </c>
      <c r="D39" s="5">
        <f t="shared" si="2"/>
        <v>0.19926873857404021</v>
      </c>
      <c r="E39" s="5">
        <f t="shared" si="2"/>
        <v>0.20000000000000018</v>
      </c>
      <c r="F39" s="5">
        <f t="shared" si="2"/>
        <v>0.20035091251635909</v>
      </c>
      <c r="G39" s="5">
        <f t="shared" si="2"/>
        <v>8.3333333333333329E-2</v>
      </c>
      <c r="H39" s="5">
        <f t="shared" si="2"/>
        <v>1.2345679012345678E-2</v>
      </c>
      <c r="I39" s="5">
        <f t="shared" si="2"/>
        <v>3.4482758620689655E-2</v>
      </c>
      <c r="J39" s="5">
        <f t="shared" si="2"/>
        <v>3.4482758620689655E-2</v>
      </c>
      <c r="K39" s="5">
        <f t="shared" si="2"/>
        <v>0.18795620437956206</v>
      </c>
      <c r="L39" s="5">
        <f t="shared" si="2"/>
        <v>3.5145012051940074E-2</v>
      </c>
      <c r="M39" s="5">
        <f t="shared" si="2"/>
        <v>1.5038263036127548E-2</v>
      </c>
    </row>
    <row r="40" spans="1:13" x14ac:dyDescent="0.2">
      <c r="A40" t="s">
        <v>31</v>
      </c>
      <c r="B40" s="5">
        <f t="shared" ref="B40:M48" si="3">ABS(B28)/B16</f>
        <v>0.06</v>
      </c>
      <c r="C40" s="5">
        <f t="shared" si="3"/>
        <v>5.5109387981168705E-2</v>
      </c>
      <c r="D40" s="5">
        <f t="shared" si="3"/>
        <v>2.9126213592232386E-3</v>
      </c>
      <c r="E40" s="5">
        <f t="shared" si="3"/>
        <v>3.0441400304412006E-3</v>
      </c>
      <c r="F40" s="5">
        <f t="shared" si="3"/>
        <v>2.3440948597349231E-3</v>
      </c>
      <c r="G40" s="5">
        <f t="shared" si="3"/>
        <v>4.2553191489361701E-2</v>
      </c>
      <c r="H40" s="5">
        <f t="shared" si="3"/>
        <v>0</v>
      </c>
      <c r="I40" s="5">
        <f t="shared" si="3"/>
        <v>3.7037037037037035E-2</v>
      </c>
      <c r="J40" s="5">
        <f t="shared" si="3"/>
        <v>7.6923076923076927E-2</v>
      </c>
      <c r="K40" s="5">
        <f t="shared" si="3"/>
        <v>6.1855670103092751E-2</v>
      </c>
      <c r="L40" s="5">
        <f t="shared" si="3"/>
        <v>2.7294704827263969E-3</v>
      </c>
      <c r="M40" s="5">
        <f t="shared" si="3"/>
        <v>1.1840113949968922E-2</v>
      </c>
    </row>
    <row r="41" spans="1:13" x14ac:dyDescent="0.2">
      <c r="A41" t="s">
        <v>32</v>
      </c>
      <c r="B41" s="5">
        <f t="shared" si="3"/>
        <v>0.29032258064516131</v>
      </c>
      <c r="C41" s="5">
        <f t="shared" si="3"/>
        <v>0.29344827586206906</v>
      </c>
      <c r="D41" s="5">
        <f t="shared" si="3"/>
        <v>0.29140722291407223</v>
      </c>
      <c r="E41" s="5">
        <f>ABS(E29)/E17</f>
        <v>0.29019607843137263</v>
      </c>
      <c r="F41" s="5">
        <f t="shared" si="3"/>
        <v>0.28983929954603849</v>
      </c>
      <c r="G41" s="5">
        <f t="shared" si="3"/>
        <v>0</v>
      </c>
      <c r="H41" s="5">
        <f t="shared" si="3"/>
        <v>1.2987012987012988E-2</v>
      </c>
      <c r="I41" s="5">
        <f t="shared" si="3"/>
        <v>3.4482758620689655E-2</v>
      </c>
      <c r="J41" s="5">
        <f t="shared" si="3"/>
        <v>7.1428571428571425E-2</v>
      </c>
      <c r="K41" s="5">
        <f t="shared" si="3"/>
        <v>0</v>
      </c>
      <c r="L41" s="5">
        <f t="shared" si="3"/>
        <v>4.7050159561410773E-2</v>
      </c>
      <c r="M41" s="5">
        <f t="shared" si="3"/>
        <v>1.6403508771929969E-2</v>
      </c>
    </row>
    <row r="42" spans="1:13" x14ac:dyDescent="0.2">
      <c r="A42" t="s">
        <v>33</v>
      </c>
      <c r="B42" s="5">
        <f t="shared" si="3"/>
        <v>0.1111111111111111</v>
      </c>
      <c r="C42" s="5">
        <f t="shared" si="3"/>
        <v>1.2485481997677112E-2</v>
      </c>
      <c r="D42" s="5">
        <f t="shared" si="3"/>
        <v>1.0763209393346497E-2</v>
      </c>
      <c r="E42" s="5">
        <f t="shared" si="3"/>
        <v>7.692307692307665E-3</v>
      </c>
      <c r="F42" s="5">
        <f t="shared" si="3"/>
        <v>7.4653832255684432E-3</v>
      </c>
      <c r="G42" s="5">
        <f t="shared" si="3"/>
        <v>2.5210084033613446E-2</v>
      </c>
      <c r="H42" s="5">
        <f t="shared" si="3"/>
        <v>3.4090909090909088E-2</v>
      </c>
      <c r="I42" s="5">
        <f t="shared" si="3"/>
        <v>0</v>
      </c>
      <c r="J42" s="5">
        <f t="shared" si="3"/>
        <v>3.7037037037037035E-2</v>
      </c>
      <c r="K42" s="5">
        <f t="shared" si="3"/>
        <v>9.9431818181818205E-2</v>
      </c>
      <c r="L42" s="5">
        <f t="shared" si="3"/>
        <v>5.9064419593637283E-3</v>
      </c>
      <c r="M42" s="5">
        <f t="shared" si="3"/>
        <v>1.3136288998357859E-2</v>
      </c>
    </row>
    <row r="43" spans="1:13" x14ac:dyDescent="0.2">
      <c r="A43" t="s">
        <v>34</v>
      </c>
      <c r="B43" s="5">
        <f t="shared" si="3"/>
        <v>0.33333333333333331</v>
      </c>
      <c r="C43" s="5">
        <f t="shared" si="3"/>
        <v>0.2224840121171324</v>
      </c>
      <c r="D43" s="5">
        <f t="shared" si="3"/>
        <v>0.22071516646115918</v>
      </c>
      <c r="E43" s="5">
        <f t="shared" si="3"/>
        <v>0.21470019342359759</v>
      </c>
      <c r="F43" s="5">
        <f t="shared" si="3"/>
        <v>0.21407990408415845</v>
      </c>
      <c r="G43" s="5">
        <f t="shared" si="3"/>
        <v>7.3170731707317069E-2</v>
      </c>
      <c r="H43" s="5">
        <f t="shared" si="3"/>
        <v>2.1276595744680851E-2</v>
      </c>
      <c r="I43" s="5">
        <f t="shared" si="3"/>
        <v>7.6923076923076927E-2</v>
      </c>
      <c r="J43" s="5">
        <f t="shared" si="3"/>
        <v>7.6923076923076927E-2</v>
      </c>
      <c r="K43" s="5">
        <f t="shared" si="3"/>
        <v>9.1216216216216228E-2</v>
      </c>
      <c r="L43" s="5">
        <f t="shared" si="3"/>
        <v>1.3246090009575445E-2</v>
      </c>
      <c r="M43" s="5">
        <f t="shared" si="3"/>
        <v>1.5885282500429296E-2</v>
      </c>
    </row>
    <row r="44" spans="1:13" x14ac:dyDescent="0.2">
      <c r="A44" t="s">
        <v>35</v>
      </c>
      <c r="B44" s="5">
        <f t="shared" si="3"/>
        <v>0.59375</v>
      </c>
      <c r="C44" s="5">
        <f t="shared" si="3"/>
        <v>0.33099824868651501</v>
      </c>
      <c r="D44" s="5">
        <f t="shared" si="3"/>
        <v>0.38284250960307314</v>
      </c>
      <c r="E44" s="5">
        <f t="shared" si="3"/>
        <v>0.39112903225806461</v>
      </c>
      <c r="F44" s="5">
        <f t="shared" si="3"/>
        <v>0.3902318598160035</v>
      </c>
      <c r="G44" s="5">
        <f t="shared" si="3"/>
        <v>0.1111111111111111</v>
      </c>
      <c r="H44" s="5">
        <f t="shared" si="3"/>
        <v>1.282051282051282E-2</v>
      </c>
      <c r="I44" s="5">
        <f t="shared" si="3"/>
        <v>7.407407407407407E-2</v>
      </c>
      <c r="J44" s="5">
        <f t="shared" si="3"/>
        <v>3.7037037037037035E-2</v>
      </c>
      <c r="K44" s="5">
        <f t="shared" si="3"/>
        <v>0.151219512195122</v>
      </c>
      <c r="L44" s="5">
        <f t="shared" si="3"/>
        <v>3.5446709095303341E-2</v>
      </c>
      <c r="M44" s="5">
        <f t="shared" si="3"/>
        <v>8.5477391230019736E-3</v>
      </c>
    </row>
    <row r="45" spans="1:13" x14ac:dyDescent="0.2">
      <c r="A45" t="s">
        <v>36</v>
      </c>
      <c r="B45" s="5">
        <f t="shared" si="3"/>
        <v>0.32432432432432434</v>
      </c>
      <c r="C45" s="5">
        <f t="shared" si="3"/>
        <v>6.9721115537848682E-2</v>
      </c>
      <c r="D45" s="5">
        <f t="shared" si="3"/>
        <v>0.10949612403100766</v>
      </c>
      <c r="E45" s="5">
        <f t="shared" si="3"/>
        <v>0.10470409711684377</v>
      </c>
      <c r="F45" s="5">
        <f t="shared" si="3"/>
        <v>0.10613630151547362</v>
      </c>
      <c r="G45" s="5">
        <f t="shared" si="3"/>
        <v>9.4827586206896547E-2</v>
      </c>
      <c r="H45" s="5">
        <f t="shared" si="3"/>
        <v>4.8192771084337352E-2</v>
      </c>
      <c r="I45" s="5">
        <f t="shared" si="3"/>
        <v>3.7037037037037035E-2</v>
      </c>
      <c r="J45" s="5">
        <f t="shared" si="3"/>
        <v>7.6923076923076927E-2</v>
      </c>
      <c r="K45" s="5">
        <f t="shared" si="3"/>
        <v>0.19220055710306419</v>
      </c>
      <c r="L45" s="5">
        <f t="shared" si="3"/>
        <v>2.2979460140080361E-2</v>
      </c>
      <c r="M45" s="5">
        <f t="shared" si="3"/>
        <v>7.8576979535446932E-3</v>
      </c>
    </row>
    <row r="46" spans="1:13" x14ac:dyDescent="0.2">
      <c r="A46" t="s">
        <v>37</v>
      </c>
      <c r="B46" s="5">
        <f t="shared" si="3"/>
        <v>4.6511627906976744E-2</v>
      </c>
      <c r="C46" s="5">
        <f t="shared" si="3"/>
        <v>0.10096603303209706</v>
      </c>
      <c r="D46" s="5">
        <f t="shared" si="3"/>
        <v>0.10348583877995654</v>
      </c>
      <c r="E46" s="5">
        <f t="shared" si="3"/>
        <v>0.10427350427350432</v>
      </c>
      <c r="F46" s="5">
        <f t="shared" si="3"/>
        <v>0.10427642832706115</v>
      </c>
      <c r="G46" s="5">
        <f t="shared" si="3"/>
        <v>0.08</v>
      </c>
      <c r="H46" s="5">
        <f t="shared" si="3"/>
        <v>9.1954022988505746E-2</v>
      </c>
      <c r="I46" s="5">
        <f t="shared" si="3"/>
        <v>3.5714285714285712E-2</v>
      </c>
      <c r="J46" s="5">
        <f t="shared" si="3"/>
        <v>0.1111111111111111</v>
      </c>
      <c r="K46" s="5">
        <f t="shared" si="3"/>
        <v>5.1282051282051141E-2</v>
      </c>
      <c r="L46" s="5">
        <f t="shared" si="3"/>
        <v>8.162294952056403E-3</v>
      </c>
      <c r="M46" s="5">
        <f t="shared" si="3"/>
        <v>4.1508434160557502E-3</v>
      </c>
    </row>
    <row r="47" spans="1:13" x14ac:dyDescent="0.2">
      <c r="A47" t="s">
        <v>38</v>
      </c>
      <c r="B47" s="5">
        <f t="shared" si="3"/>
        <v>0.24324324324324326</v>
      </c>
      <c r="C47" s="5">
        <f t="shared" si="3"/>
        <v>0.10681399631675863</v>
      </c>
      <c r="D47" s="5">
        <f t="shared" si="3"/>
        <v>0.12040911204091119</v>
      </c>
      <c r="E47" s="5">
        <f t="shared" si="3"/>
        <v>0.12134502923976609</v>
      </c>
      <c r="F47" s="5">
        <f t="shared" si="3"/>
        <v>0.1209233669718737</v>
      </c>
      <c r="G47" s="5">
        <f t="shared" si="3"/>
        <v>0.10204081632653061</v>
      </c>
      <c r="H47" s="5">
        <f t="shared" si="3"/>
        <v>0.10843373493975904</v>
      </c>
      <c r="I47" s="5">
        <f t="shared" si="3"/>
        <v>3.4482758620689655E-2</v>
      </c>
      <c r="J47" s="5">
        <f t="shared" si="3"/>
        <v>3.4482758620689655E-2</v>
      </c>
      <c r="K47" s="5">
        <f t="shared" si="3"/>
        <v>0.13953488372093018</v>
      </c>
      <c r="L47" s="5">
        <f t="shared" si="3"/>
        <v>2.2126324048646531E-2</v>
      </c>
      <c r="M47" s="5">
        <f t="shared" si="3"/>
        <v>2.2408713507722434E-2</v>
      </c>
    </row>
    <row r="48" spans="1:13" x14ac:dyDescent="0.2">
      <c r="A48" t="s">
        <v>39</v>
      </c>
      <c r="B48" s="5">
        <f t="shared" si="3"/>
        <v>0</v>
      </c>
      <c r="C48" s="5">
        <f t="shared" si="3"/>
        <v>4.6103509815586093E-2</v>
      </c>
      <c r="D48" s="5">
        <f t="shared" si="3"/>
        <v>4.2730588848358529E-2</v>
      </c>
      <c r="E48" s="5">
        <f t="shared" si="3"/>
        <v>4.2553191489361812E-2</v>
      </c>
      <c r="F48" s="5">
        <f t="shared" si="3"/>
        <v>4.1853121395322317E-2</v>
      </c>
      <c r="G48" s="5">
        <f t="shared" si="3"/>
        <v>8.4745762711864406E-3</v>
      </c>
      <c r="H48" s="5">
        <f t="shared" si="3"/>
        <v>3.3333333333333333E-2</v>
      </c>
      <c r="I48" s="5">
        <f t="shared" si="3"/>
        <v>7.6923076923076927E-2</v>
      </c>
      <c r="J48" s="5">
        <f t="shared" si="3"/>
        <v>7.6923076923076927E-2</v>
      </c>
      <c r="K48" s="5">
        <f t="shared" si="3"/>
        <v>4.1297935103244872E-2</v>
      </c>
      <c r="L48" s="5">
        <f t="shared" si="3"/>
        <v>1.5080561949361161E-3</v>
      </c>
      <c r="M48" s="5">
        <f t="shared" si="3"/>
        <v>1.5203870076019402E-2</v>
      </c>
    </row>
    <row r="49" spans="1:13" x14ac:dyDescent="0.2">
      <c r="A49" s="10" t="s">
        <v>65</v>
      </c>
      <c r="B49" s="6">
        <f>AVERAGE(B39:B48)</f>
        <v>0.23525962205641501</v>
      </c>
      <c r="C49" s="6">
        <f t="shared" ref="C49:M49" si="4">AVERAGE(C39:C48)</f>
        <v>0.14089740511166743</v>
      </c>
      <c r="D49" s="6">
        <f t="shared" si="4"/>
        <v>0.14840311320051483</v>
      </c>
      <c r="E49" s="6">
        <f t="shared" si="4"/>
        <v>0.14796375739552597</v>
      </c>
      <c r="F49" s="6">
        <f t="shared" si="4"/>
        <v>0.1477500672257594</v>
      </c>
      <c r="G49" s="6">
        <f t="shared" si="4"/>
        <v>6.2072143047935013E-2</v>
      </c>
      <c r="H49" s="6">
        <f t="shared" si="4"/>
        <v>3.7543457200139692E-2</v>
      </c>
      <c r="I49" s="6">
        <f t="shared" si="4"/>
        <v>4.411568635706567E-2</v>
      </c>
      <c r="J49" s="6">
        <f t="shared" si="4"/>
        <v>6.3327158154744365E-2</v>
      </c>
      <c r="K49" s="6">
        <f t="shared" si="4"/>
        <v>0.10159948482851015</v>
      </c>
      <c r="L49" s="6">
        <f t="shared" si="4"/>
        <v>1.9430001849603917E-2</v>
      </c>
      <c r="M49" s="6">
        <f t="shared" si="4"/>
        <v>1.3047232133315784E-2</v>
      </c>
    </row>
    <row r="50" spans="1:13" x14ac:dyDescent="0.2">
      <c r="A50" s="10" t="s">
        <v>66</v>
      </c>
      <c r="B50" s="6">
        <f>MAX(B39:B48)</f>
        <v>0.59375</v>
      </c>
      <c r="C50" s="6">
        <f t="shared" ref="C50:M50" si="5">MAX(C39:C48)</f>
        <v>0.33099824868651501</v>
      </c>
      <c r="D50" s="6">
        <f t="shared" si="5"/>
        <v>0.38284250960307314</v>
      </c>
      <c r="E50" s="6">
        <f t="shared" si="5"/>
        <v>0.39112903225806461</v>
      </c>
      <c r="F50" s="6">
        <f t="shared" si="5"/>
        <v>0.3902318598160035</v>
      </c>
      <c r="G50" s="6">
        <f t="shared" si="5"/>
        <v>0.1111111111111111</v>
      </c>
      <c r="H50" s="6">
        <f t="shared" si="5"/>
        <v>0.10843373493975904</v>
      </c>
      <c r="I50" s="6">
        <f t="shared" si="5"/>
        <v>7.6923076923076927E-2</v>
      </c>
      <c r="J50" s="6">
        <f t="shared" si="5"/>
        <v>0.1111111111111111</v>
      </c>
      <c r="K50" s="6">
        <f t="shared" si="5"/>
        <v>0.19220055710306419</v>
      </c>
      <c r="L50" s="6">
        <f t="shared" si="5"/>
        <v>4.7050159561410773E-2</v>
      </c>
      <c r="M50" s="6">
        <f t="shared" si="5"/>
        <v>2.2408713507722434E-2</v>
      </c>
    </row>
    <row r="51" spans="1:13" x14ac:dyDescent="0.2">
      <c r="A51" s="10" t="s">
        <v>70</v>
      </c>
      <c r="B51" s="12">
        <f>SQRT(SUMSQ(B27:B36)/COUNTA(B27:B36))</f>
        <v>13.597793938724031</v>
      </c>
      <c r="C51" s="12">
        <f t="shared" ref="C51:M51" si="6">SQRT(SUMSQ(C27:C36)/COUNTA(C27:C36))</f>
        <v>5.3811550804636745</v>
      </c>
      <c r="D51" s="12">
        <f t="shared" si="6"/>
        <v>1.7873192216277429</v>
      </c>
      <c r="E51" s="12">
        <f t="shared" si="6"/>
        <v>1.0356543825041251</v>
      </c>
      <c r="F51" s="12">
        <f>SQRT(SUMSQ(F27:F36)/COUNTA(F27:F36))</f>
        <v>2.0700852506599818</v>
      </c>
      <c r="G51" s="12">
        <f t="shared" si="6"/>
        <v>7.745966692414834</v>
      </c>
      <c r="H51" s="12">
        <f>SQRT(SUMSQ(H27:H36)/COUNTA(H27:H36))</f>
        <v>4.3127717305695654</v>
      </c>
      <c r="I51" s="12">
        <f t="shared" si="6"/>
        <v>1.3416407864998738</v>
      </c>
      <c r="J51" s="12">
        <f t="shared" si="6"/>
        <v>1.8165902124584949</v>
      </c>
      <c r="K51" s="12">
        <f t="shared" si="6"/>
        <v>0.529376992322107</v>
      </c>
      <c r="L51" s="12">
        <f t="shared" si="6"/>
        <v>3.0638097199401977E-2</v>
      </c>
      <c r="M51" s="12">
        <f t="shared" si="6"/>
        <v>1.5906445234558243E-2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3"/>
  <sheetViews>
    <sheetView workbookViewId="0">
      <selection activeCell="H33" sqref="H33"/>
    </sheetView>
  </sheetViews>
  <sheetFormatPr baseColWidth="10" defaultColWidth="8.83203125" defaultRowHeight="15" x14ac:dyDescent="0.2"/>
  <cols>
    <col min="1" max="1" width="23.5" bestFit="1" customWidth="1"/>
    <col min="2" max="2" width="7.33203125" bestFit="1" customWidth="1"/>
    <col min="3" max="3" width="7" bestFit="1" customWidth="1"/>
    <col min="4" max="4" width="10.1640625" bestFit="1" customWidth="1"/>
    <col min="5" max="5" width="7.6640625" bestFit="1" customWidth="1"/>
    <col min="6" max="6" width="10.5" bestFit="1" customWidth="1"/>
    <col min="7" max="7" width="11" bestFit="1" customWidth="1"/>
    <col min="8" max="8" width="12.5" bestFit="1" customWidth="1"/>
    <col min="9" max="9" width="9.6640625" bestFit="1" customWidth="1"/>
    <col min="10" max="10" width="11.1640625" bestFit="1" customWidth="1"/>
    <col min="11" max="11" width="6" bestFit="1" customWidth="1"/>
    <col min="12" max="13" width="7.6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7" t="s">
        <v>58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2">
      <c r="A3" t="s">
        <v>40</v>
      </c>
      <c r="B3">
        <v>3</v>
      </c>
      <c r="C3">
        <v>11.18</v>
      </c>
      <c r="D3">
        <v>2.94</v>
      </c>
      <c r="E3">
        <v>1.87</v>
      </c>
      <c r="F3">
        <v>3.7442000000000002</v>
      </c>
      <c r="G3">
        <v>210</v>
      </c>
      <c r="H3">
        <v>165</v>
      </c>
      <c r="I3">
        <v>29</v>
      </c>
      <c r="J3">
        <v>30</v>
      </c>
      <c r="K3">
        <v>1.02</v>
      </c>
      <c r="L3">
        <v>0.95279999999999998</v>
      </c>
      <c r="M3">
        <v>1.1265000000000001</v>
      </c>
    </row>
    <row r="4" spans="1:13" x14ac:dyDescent="0.2">
      <c r="A4" t="s">
        <v>41</v>
      </c>
      <c r="B4">
        <v>101</v>
      </c>
      <c r="C4">
        <v>31.77</v>
      </c>
      <c r="D4">
        <v>27</v>
      </c>
      <c r="E4">
        <v>5.73</v>
      </c>
      <c r="F4">
        <v>11.463699999999999</v>
      </c>
      <c r="G4">
        <v>112</v>
      </c>
      <c r="H4">
        <v>87</v>
      </c>
      <c r="I4">
        <v>28</v>
      </c>
      <c r="J4">
        <v>28</v>
      </c>
      <c r="K4">
        <v>3.74</v>
      </c>
      <c r="L4">
        <v>1.3391999999999999</v>
      </c>
      <c r="M4">
        <v>1.157</v>
      </c>
    </row>
    <row r="5" spans="1:13" x14ac:dyDescent="0.2">
      <c r="A5" t="s">
        <v>42</v>
      </c>
      <c r="B5">
        <v>236</v>
      </c>
      <c r="C5">
        <v>38.080000000000013</v>
      </c>
      <c r="D5">
        <v>54.9</v>
      </c>
      <c r="E5">
        <v>6.99</v>
      </c>
      <c r="F5">
        <v>13.9809</v>
      </c>
      <c r="G5">
        <v>105</v>
      </c>
      <c r="H5">
        <v>82</v>
      </c>
      <c r="I5">
        <v>29</v>
      </c>
      <c r="J5">
        <v>28</v>
      </c>
      <c r="K5">
        <v>4.3</v>
      </c>
      <c r="L5">
        <v>1.3387</v>
      </c>
      <c r="M5">
        <v>1.1586000000000001</v>
      </c>
    </row>
    <row r="7" spans="1:13" x14ac:dyDescent="0.2">
      <c r="A7" s="3" t="s">
        <v>59</v>
      </c>
    </row>
    <row r="8" spans="1:13" x14ac:dyDescent="0.2">
      <c r="A8" t="s">
        <v>40</v>
      </c>
      <c r="B8">
        <v>0</v>
      </c>
      <c r="C8">
        <v>8.06</v>
      </c>
      <c r="D8">
        <v>2.15</v>
      </c>
      <c r="E8">
        <v>1.37</v>
      </c>
      <c r="F8">
        <v>2.7372999999999998</v>
      </c>
      <c r="G8">
        <v>430</v>
      </c>
      <c r="H8">
        <v>219</v>
      </c>
      <c r="I8">
        <v>26</v>
      </c>
      <c r="J8">
        <v>26</v>
      </c>
      <c r="K8">
        <v>0</v>
      </c>
      <c r="L8">
        <v>0.93179999999999996</v>
      </c>
      <c r="M8">
        <v>1.1895</v>
      </c>
    </row>
    <row r="9" spans="1:13" x14ac:dyDescent="0.2">
      <c r="A9" t="s">
        <v>41</v>
      </c>
      <c r="B9">
        <v>100</v>
      </c>
      <c r="C9">
        <v>32.99</v>
      </c>
      <c r="D9">
        <v>28.67</v>
      </c>
      <c r="E9">
        <v>6.08</v>
      </c>
      <c r="F9">
        <v>12.1684</v>
      </c>
      <c r="G9">
        <v>124</v>
      </c>
      <c r="H9">
        <v>91</v>
      </c>
      <c r="I9">
        <v>28</v>
      </c>
      <c r="J9">
        <v>28</v>
      </c>
      <c r="K9">
        <v>3.49</v>
      </c>
      <c r="L9">
        <v>1.2974000000000001</v>
      </c>
      <c r="M9">
        <v>1.1649</v>
      </c>
    </row>
    <row r="10" spans="1:13" x14ac:dyDescent="0.2">
      <c r="A10" t="s">
        <v>42</v>
      </c>
      <c r="B10">
        <v>238</v>
      </c>
      <c r="C10">
        <v>38.440000000000005</v>
      </c>
      <c r="D10">
        <v>55.15</v>
      </c>
      <c r="E10">
        <v>7.02</v>
      </c>
      <c r="F10">
        <v>14.043799999999999</v>
      </c>
      <c r="G10">
        <v>105</v>
      </c>
      <c r="H10">
        <v>81</v>
      </c>
      <c r="I10">
        <v>28</v>
      </c>
      <c r="J10">
        <v>27</v>
      </c>
      <c r="K10">
        <v>4.32</v>
      </c>
      <c r="L10">
        <v>1.3433999999999999</v>
      </c>
      <c r="M10">
        <v>1.1489</v>
      </c>
    </row>
    <row r="12" spans="1:13" x14ac:dyDescent="0.2">
      <c r="A12" s="3" t="s">
        <v>60</v>
      </c>
    </row>
    <row r="13" spans="1:13" x14ac:dyDescent="0.2">
      <c r="A13" t="s">
        <v>40</v>
      </c>
      <c r="B13">
        <f>B3-B8</f>
        <v>3</v>
      </c>
      <c r="C13">
        <f>C3-C8</f>
        <v>3.1199999999999992</v>
      </c>
      <c r="D13">
        <f>D3-D8</f>
        <v>0.79</v>
      </c>
      <c r="E13">
        <f t="shared" ref="C13:M13" si="0">E3-E8</f>
        <v>0.5</v>
      </c>
      <c r="F13">
        <f>F3-F8</f>
        <v>1.0069000000000004</v>
      </c>
      <c r="G13">
        <f>G3-G8</f>
        <v>-220</v>
      </c>
      <c r="H13">
        <f>H3-H8</f>
        <v>-54</v>
      </c>
      <c r="I13">
        <f t="shared" si="0"/>
        <v>3</v>
      </c>
      <c r="J13">
        <f t="shared" si="0"/>
        <v>4</v>
      </c>
      <c r="K13">
        <f t="shared" si="0"/>
        <v>1.02</v>
      </c>
      <c r="L13">
        <f t="shared" si="0"/>
        <v>2.1000000000000019E-2</v>
      </c>
      <c r="M13">
        <f t="shared" si="0"/>
        <v>-6.2999999999999945E-2</v>
      </c>
    </row>
    <row r="14" spans="1:13" x14ac:dyDescent="0.2">
      <c r="A14" t="s">
        <v>41</v>
      </c>
      <c r="B14">
        <f t="shared" ref="B14:M15" si="1">B4-B9</f>
        <v>1</v>
      </c>
      <c r="C14">
        <f t="shared" si="1"/>
        <v>-1.2200000000000024</v>
      </c>
      <c r="D14">
        <f t="shared" si="1"/>
        <v>-1.6700000000000017</v>
      </c>
      <c r="E14">
        <f t="shared" si="1"/>
        <v>-0.34999999999999964</v>
      </c>
      <c r="F14">
        <f t="shared" si="1"/>
        <v>-0.70470000000000077</v>
      </c>
      <c r="G14">
        <f t="shared" si="1"/>
        <v>-12</v>
      </c>
      <c r="H14">
        <f t="shared" si="1"/>
        <v>-4</v>
      </c>
      <c r="I14">
        <f t="shared" si="1"/>
        <v>0</v>
      </c>
      <c r="J14">
        <f t="shared" si="1"/>
        <v>0</v>
      </c>
      <c r="K14">
        <f t="shared" si="1"/>
        <v>0.25</v>
      </c>
      <c r="L14">
        <f t="shared" si="1"/>
        <v>4.1799999999999837E-2</v>
      </c>
      <c r="M14">
        <f t="shared" si="1"/>
        <v>-7.9000000000000181E-3</v>
      </c>
    </row>
    <row r="15" spans="1:13" x14ac:dyDescent="0.2">
      <c r="A15" t="s">
        <v>42</v>
      </c>
      <c r="B15">
        <f>B5-B10</f>
        <v>-2</v>
      </c>
      <c r="C15">
        <f t="shared" ref="C15:M15" si="2">C5-C10</f>
        <v>-0.35999999999999233</v>
      </c>
      <c r="D15">
        <f t="shared" si="2"/>
        <v>-0.25</v>
      </c>
      <c r="E15">
        <f t="shared" si="2"/>
        <v>-2.9999999999999361E-2</v>
      </c>
      <c r="F15">
        <f t="shared" si="2"/>
        <v>-6.2899999999999068E-2</v>
      </c>
      <c r="G15">
        <f t="shared" si="2"/>
        <v>0</v>
      </c>
      <c r="H15">
        <f t="shared" si="2"/>
        <v>1</v>
      </c>
      <c r="I15">
        <f t="shared" si="2"/>
        <v>1</v>
      </c>
      <c r="J15">
        <f t="shared" si="2"/>
        <v>1</v>
      </c>
      <c r="K15">
        <f t="shared" si="2"/>
        <v>-2.0000000000000462E-2</v>
      </c>
      <c r="L15">
        <f t="shared" si="2"/>
        <v>-4.6999999999999265E-3</v>
      </c>
      <c r="M15">
        <f t="shared" si="2"/>
        <v>9.7000000000000419E-3</v>
      </c>
    </row>
    <row r="17" spans="1:13" x14ac:dyDescent="0.2">
      <c r="A17" s="3" t="s">
        <v>61</v>
      </c>
    </row>
    <row r="18" spans="1:13" x14ac:dyDescent="0.2">
      <c r="A18" t="s">
        <v>40</v>
      </c>
      <c r="B18" s="9" t="e">
        <f>IF(B8=0,NA(),ABS(B13)/B8)</f>
        <v>#N/A</v>
      </c>
      <c r="C18" s="9">
        <f>IF(C8=0,NA(),ABS(C13)/C8)</f>
        <v>0.38709677419354827</v>
      </c>
      <c r="D18" s="9">
        <f t="shared" ref="C18:M18" si="3">IF(D8=0,NA(),ABS(D13)/D8)</f>
        <v>0.36744186046511629</v>
      </c>
      <c r="E18" s="9">
        <f>IF(E8=0,NA(),ABS(E13)/E8)</f>
        <v>0.36496350364963503</v>
      </c>
      <c r="F18" s="9">
        <f>IF(F8=0,NA(),ABS(F13)/F8)</f>
        <v>0.3678442260621782</v>
      </c>
      <c r="G18" s="9">
        <f>IF(G8=0,NA(),ABS(G13)/G8)</f>
        <v>0.51162790697674421</v>
      </c>
      <c r="H18" s="9">
        <f t="shared" si="3"/>
        <v>0.24657534246575341</v>
      </c>
      <c r="I18" s="9">
        <f t="shared" si="3"/>
        <v>0.11538461538461539</v>
      </c>
      <c r="J18" s="9">
        <f t="shared" si="3"/>
        <v>0.15384615384615385</v>
      </c>
      <c r="K18" s="9" t="e">
        <f t="shared" si="3"/>
        <v>#N/A</v>
      </c>
      <c r="L18" s="9">
        <f t="shared" si="3"/>
        <v>2.2537025112685148E-2</v>
      </c>
      <c r="M18" s="9">
        <f t="shared" si="3"/>
        <v>5.2963430012610294E-2</v>
      </c>
    </row>
    <row r="19" spans="1:13" x14ac:dyDescent="0.2">
      <c r="A19" t="s">
        <v>41</v>
      </c>
      <c r="B19" s="9">
        <f>IF(B9=0,NA(),ABS(B14)/B9)</f>
        <v>0.01</v>
      </c>
      <c r="C19" s="9">
        <f t="shared" ref="C19:M19" si="4">IF(C9=0,NA(),ABS(C14)/C9)</f>
        <v>3.6980903304031594E-2</v>
      </c>
      <c r="D19" s="9">
        <f>IF(D9=0,NA(),ABS(D14)/D9)</f>
        <v>5.8249040809208286E-2</v>
      </c>
      <c r="E19" s="9">
        <f t="shared" si="4"/>
        <v>5.7565789473684154E-2</v>
      </c>
      <c r="F19" s="9">
        <f t="shared" si="4"/>
        <v>5.7912297426120175E-2</v>
      </c>
      <c r="G19" s="9">
        <f t="shared" si="4"/>
        <v>9.6774193548387094E-2</v>
      </c>
      <c r="H19" s="9">
        <f t="shared" si="4"/>
        <v>4.3956043956043959E-2</v>
      </c>
      <c r="I19" s="9">
        <f t="shared" si="4"/>
        <v>0</v>
      </c>
      <c r="J19" s="9">
        <f t="shared" si="4"/>
        <v>0</v>
      </c>
      <c r="K19" s="9">
        <f t="shared" si="4"/>
        <v>7.1633237822349566E-2</v>
      </c>
      <c r="L19" s="9">
        <f t="shared" si="4"/>
        <v>3.2218282719284598E-2</v>
      </c>
      <c r="M19" s="9">
        <f t="shared" si="4"/>
        <v>6.7816979998283266E-3</v>
      </c>
    </row>
    <row r="20" spans="1:13" x14ac:dyDescent="0.2">
      <c r="A20" t="s">
        <v>42</v>
      </c>
      <c r="B20" s="9">
        <f>IF(B10=0,NA(),ABS(B15)/B10)</f>
        <v>8.4033613445378148E-3</v>
      </c>
      <c r="C20" s="9">
        <f t="shared" ref="C20:M20" si="5">IF(C10=0,NA(),ABS(C15)/C10)</f>
        <v>9.3652445369404851E-3</v>
      </c>
      <c r="D20" s="9">
        <f t="shared" si="5"/>
        <v>4.5330915684496827E-3</v>
      </c>
      <c r="E20" s="9">
        <f t="shared" si="5"/>
        <v>4.2735042735041829E-3</v>
      </c>
      <c r="F20" s="9">
        <f t="shared" si="5"/>
        <v>4.4788447571169534E-3</v>
      </c>
      <c r="G20" s="9">
        <f t="shared" si="5"/>
        <v>0</v>
      </c>
      <c r="H20" s="9">
        <f t="shared" si="5"/>
        <v>1.2345679012345678E-2</v>
      </c>
      <c r="I20" s="9">
        <f t="shared" si="5"/>
        <v>3.5714285714285712E-2</v>
      </c>
      <c r="J20" s="9">
        <f t="shared" si="5"/>
        <v>3.7037037037037035E-2</v>
      </c>
      <c r="K20" s="9">
        <f t="shared" si="5"/>
        <v>4.6296296296297361E-3</v>
      </c>
      <c r="L20" s="9">
        <f t="shared" si="5"/>
        <v>3.4985856781300632E-3</v>
      </c>
      <c r="M20" s="9">
        <f t="shared" si="5"/>
        <v>8.4428583862825677E-3</v>
      </c>
    </row>
    <row r="21" spans="1:13" x14ac:dyDescent="0.2">
      <c r="A21" s="10" t="s">
        <v>67</v>
      </c>
      <c r="B21" s="11">
        <f>AVERAGE(B19:B20)</f>
        <v>9.2016806722689075E-3</v>
      </c>
      <c r="C21" s="11">
        <f>AVERAGE(C18:C20)</f>
        <v>0.14448097401150678</v>
      </c>
      <c r="D21" s="11">
        <f t="shared" ref="D21:M21" si="6">AVERAGE(D18:D20)</f>
        <v>0.14340799761425807</v>
      </c>
      <c r="E21" s="11">
        <f t="shared" si="6"/>
        <v>0.14226759913227446</v>
      </c>
      <c r="F21" s="11">
        <f t="shared" si="6"/>
        <v>0.14341178941513846</v>
      </c>
      <c r="G21" s="11">
        <f t="shared" si="6"/>
        <v>0.20280070017504379</v>
      </c>
      <c r="H21" s="11">
        <f>AVERAGE(H18:H20)</f>
        <v>0.10095902181138101</v>
      </c>
      <c r="I21" s="11">
        <f t="shared" si="6"/>
        <v>5.0366300366300375E-2</v>
      </c>
      <c r="J21" s="11">
        <f t="shared" si="6"/>
        <v>6.3627730294396959E-2</v>
      </c>
      <c r="K21" s="11">
        <f>AVERAGE(K19:K20)</f>
        <v>3.813143372598965E-2</v>
      </c>
      <c r="L21" s="11">
        <f t="shared" si="6"/>
        <v>1.9417964503366605E-2</v>
      </c>
      <c r="M21" s="11">
        <f t="shared" si="6"/>
        <v>2.272932879957373E-2</v>
      </c>
    </row>
    <row r="22" spans="1:13" x14ac:dyDescent="0.2">
      <c r="A22" s="10" t="s">
        <v>66</v>
      </c>
      <c r="B22" s="11">
        <f>MAX(B19:B20)</f>
        <v>0.01</v>
      </c>
      <c r="C22" s="11">
        <f>MAX(C18:C20)</f>
        <v>0.38709677419354827</v>
      </c>
      <c r="D22" s="11">
        <f t="shared" ref="D22:J22" si="7">MAX(D18:D20)</f>
        <v>0.36744186046511629</v>
      </c>
      <c r="E22" s="11">
        <f t="shared" si="7"/>
        <v>0.36496350364963503</v>
      </c>
      <c r="F22" s="11">
        <f t="shared" si="7"/>
        <v>0.3678442260621782</v>
      </c>
      <c r="G22" s="11">
        <f t="shared" si="7"/>
        <v>0.51162790697674421</v>
      </c>
      <c r="H22" s="11">
        <f>MAX(H18:H20)</f>
        <v>0.24657534246575341</v>
      </c>
      <c r="I22" s="11">
        <f t="shared" si="7"/>
        <v>0.11538461538461539</v>
      </c>
      <c r="J22" s="11">
        <f t="shared" si="7"/>
        <v>0.15384615384615385</v>
      </c>
      <c r="K22" s="11">
        <f>MAX(K19:K20)</f>
        <v>7.1633237822349566E-2</v>
      </c>
      <c r="L22" s="11">
        <f t="shared" ref="L22:M22" si="8">MAX(L18:L20)</f>
        <v>3.2218282719284598E-2</v>
      </c>
      <c r="M22" s="11">
        <f t="shared" si="8"/>
        <v>5.2963430012610294E-2</v>
      </c>
    </row>
    <row r="23" spans="1:13" x14ac:dyDescent="0.2">
      <c r="A23" s="10" t="s">
        <v>70</v>
      </c>
      <c r="B23" s="12">
        <f>SQRT(SUMSQ(B13:B15)/COUNTA(B13:B15))</f>
        <v>2.1602468994692869</v>
      </c>
      <c r="C23" s="12">
        <f t="shared" ref="C23:M23" si="9">SQRT(SUMSQ(C13:C15)/COUNTA(C13:C15))</f>
        <v>1.9452848977292072</v>
      </c>
      <c r="D23" s="12">
        <f t="shared" si="9"/>
        <v>1.0763363786474942</v>
      </c>
      <c r="E23" s="12">
        <f t="shared" si="9"/>
        <v>0.35279833710870373</v>
      </c>
      <c r="F23" s="12">
        <f t="shared" si="9"/>
        <v>0.71049422000933071</v>
      </c>
      <c r="G23" s="13">
        <f t="shared" si="9"/>
        <v>127.20586988552586</v>
      </c>
      <c r="H23" s="13">
        <f t="shared" si="9"/>
        <v>31.267661675710045</v>
      </c>
      <c r="I23" s="12">
        <f t="shared" si="9"/>
        <v>1.8257418583505538</v>
      </c>
      <c r="J23" s="12">
        <f t="shared" si="9"/>
        <v>2.3804761428476167</v>
      </c>
      <c r="K23" s="12">
        <f t="shared" si="9"/>
        <v>0.606437685724318</v>
      </c>
      <c r="L23" s="12">
        <f t="shared" si="9"/>
        <v>2.7143630314802443E-2</v>
      </c>
      <c r="M23" s="12">
        <f t="shared" si="9"/>
        <v>3.7083239700256301E-2</v>
      </c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1"/>
  <sheetViews>
    <sheetView topLeftCell="A49" workbookViewId="0">
      <selection activeCell="B71" sqref="B71"/>
    </sheetView>
  </sheetViews>
  <sheetFormatPr baseColWidth="10" defaultColWidth="8.83203125" defaultRowHeight="15" x14ac:dyDescent="0.2"/>
  <cols>
    <col min="2" max="2" width="10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7" t="s">
        <v>58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2">
      <c r="A3" t="s">
        <v>43</v>
      </c>
      <c r="B3">
        <v>78</v>
      </c>
      <c r="C3">
        <v>37.82</v>
      </c>
      <c r="D3">
        <v>15.67</v>
      </c>
      <c r="E3">
        <v>6.65</v>
      </c>
      <c r="F3">
        <v>13.2904</v>
      </c>
      <c r="G3">
        <v>101</v>
      </c>
      <c r="H3">
        <v>88</v>
      </c>
      <c r="I3">
        <v>30</v>
      </c>
      <c r="J3">
        <v>30</v>
      </c>
      <c r="K3">
        <v>4.9800000000000004</v>
      </c>
      <c r="L3">
        <v>1.3191999999999999</v>
      </c>
      <c r="M3">
        <v>1.1568000000000001</v>
      </c>
    </row>
    <row r="4" spans="1:13" x14ac:dyDescent="0.2">
      <c r="A4" t="s">
        <v>44</v>
      </c>
      <c r="B4">
        <v>66</v>
      </c>
      <c r="C4">
        <v>35.92</v>
      </c>
      <c r="D4">
        <v>16.02</v>
      </c>
      <c r="E4">
        <v>6.78</v>
      </c>
      <c r="F4">
        <v>13.5505</v>
      </c>
      <c r="G4">
        <v>109</v>
      </c>
      <c r="H4">
        <v>89</v>
      </c>
      <c r="I4">
        <v>29</v>
      </c>
      <c r="J4">
        <v>28</v>
      </c>
      <c r="K4">
        <v>4.12</v>
      </c>
      <c r="L4">
        <v>1.3182</v>
      </c>
      <c r="M4">
        <v>1.1592</v>
      </c>
    </row>
    <row r="5" spans="1:13" x14ac:dyDescent="0.2">
      <c r="A5" t="s">
        <v>45</v>
      </c>
      <c r="B5">
        <v>69</v>
      </c>
      <c r="C5">
        <v>35.78</v>
      </c>
      <c r="D5">
        <v>15.42</v>
      </c>
      <c r="E5">
        <v>6.54</v>
      </c>
      <c r="F5">
        <v>13.0793</v>
      </c>
      <c r="G5">
        <v>97</v>
      </c>
      <c r="H5">
        <v>77</v>
      </c>
      <c r="I5">
        <v>28</v>
      </c>
      <c r="J5">
        <v>28</v>
      </c>
      <c r="K5">
        <v>4.47</v>
      </c>
      <c r="L5">
        <v>1.3098000000000001</v>
      </c>
      <c r="M5">
        <v>1.1594</v>
      </c>
    </row>
    <row r="6" spans="1:13" x14ac:dyDescent="0.2">
      <c r="A6" t="s">
        <v>46</v>
      </c>
      <c r="B6">
        <v>54</v>
      </c>
      <c r="C6">
        <v>35.380000000000003</v>
      </c>
      <c r="D6">
        <v>15.06</v>
      </c>
      <c r="E6">
        <v>6.4</v>
      </c>
      <c r="F6">
        <v>12.7906</v>
      </c>
      <c r="G6">
        <v>116</v>
      </c>
      <c r="H6">
        <v>96</v>
      </c>
      <c r="I6">
        <v>29</v>
      </c>
      <c r="J6">
        <v>28</v>
      </c>
      <c r="K6">
        <v>3.59</v>
      </c>
      <c r="L6">
        <v>1.3084</v>
      </c>
      <c r="M6">
        <v>1.1603000000000001</v>
      </c>
    </row>
    <row r="7" spans="1:13" x14ac:dyDescent="0.2">
      <c r="A7" t="s">
        <v>47</v>
      </c>
      <c r="B7">
        <v>49</v>
      </c>
      <c r="C7">
        <v>34</v>
      </c>
      <c r="D7">
        <v>14.89</v>
      </c>
      <c r="E7">
        <v>6.31</v>
      </c>
      <c r="F7">
        <v>12.6289</v>
      </c>
      <c r="G7">
        <v>115</v>
      </c>
      <c r="H7">
        <v>87</v>
      </c>
      <c r="I7">
        <v>27</v>
      </c>
      <c r="J7">
        <v>28</v>
      </c>
      <c r="K7">
        <v>3.29</v>
      </c>
      <c r="L7">
        <v>1.3066</v>
      </c>
      <c r="M7">
        <v>1.1853</v>
      </c>
    </row>
    <row r="8" spans="1:13" x14ac:dyDescent="0.2">
      <c r="A8" t="s">
        <v>48</v>
      </c>
      <c r="B8">
        <v>63</v>
      </c>
      <c r="C8">
        <v>37.119999999999997</v>
      </c>
      <c r="D8">
        <v>15.26</v>
      </c>
      <c r="E8">
        <v>6.48</v>
      </c>
      <c r="F8">
        <v>12.964399999999999</v>
      </c>
      <c r="G8">
        <v>105</v>
      </c>
      <c r="H8">
        <v>85</v>
      </c>
      <c r="I8">
        <v>29</v>
      </c>
      <c r="J8">
        <v>28</v>
      </c>
      <c r="K8">
        <v>4.13</v>
      </c>
      <c r="L8">
        <v>1.3176000000000001</v>
      </c>
      <c r="M8">
        <v>1.1609</v>
      </c>
    </row>
    <row r="9" spans="1:13" x14ac:dyDescent="0.2">
      <c r="A9" t="s">
        <v>49</v>
      </c>
      <c r="B9">
        <v>66</v>
      </c>
      <c r="C9">
        <v>36.01</v>
      </c>
      <c r="D9">
        <v>16.07</v>
      </c>
      <c r="E9">
        <v>6.8000000000000007</v>
      </c>
      <c r="F9">
        <v>13.605399999999999</v>
      </c>
      <c r="G9">
        <v>109</v>
      </c>
      <c r="H9">
        <v>79</v>
      </c>
      <c r="I9">
        <v>28</v>
      </c>
      <c r="J9">
        <v>28</v>
      </c>
      <c r="K9">
        <v>4.1100000000000003</v>
      </c>
      <c r="L9">
        <v>1.3278000000000001</v>
      </c>
      <c r="M9">
        <v>1.2235</v>
      </c>
    </row>
    <row r="10" spans="1:13" x14ac:dyDescent="0.2">
      <c r="A10" t="s">
        <v>50</v>
      </c>
      <c r="B10">
        <v>68</v>
      </c>
      <c r="C10">
        <v>36.590000000000003</v>
      </c>
      <c r="D10">
        <v>16.18</v>
      </c>
      <c r="E10">
        <v>6.88</v>
      </c>
      <c r="F10">
        <v>13.757899999999999</v>
      </c>
      <c r="G10">
        <v>104</v>
      </c>
      <c r="H10">
        <v>88</v>
      </c>
      <c r="I10">
        <v>28</v>
      </c>
      <c r="J10">
        <v>28</v>
      </c>
      <c r="K10">
        <v>4.2</v>
      </c>
      <c r="L10">
        <v>1.3313999999999999</v>
      </c>
      <c r="M10">
        <v>1.1751</v>
      </c>
    </row>
    <row r="11" spans="1:13" x14ac:dyDescent="0.2">
      <c r="A11" t="s">
        <v>51</v>
      </c>
      <c r="B11">
        <v>276</v>
      </c>
      <c r="C11">
        <v>36.26</v>
      </c>
      <c r="D11">
        <v>62.06</v>
      </c>
      <c r="E11">
        <v>6.58</v>
      </c>
      <c r="F11">
        <v>13.168699999999999</v>
      </c>
      <c r="G11">
        <v>105</v>
      </c>
      <c r="H11">
        <v>85</v>
      </c>
      <c r="I11">
        <v>29</v>
      </c>
      <c r="J11">
        <v>28</v>
      </c>
      <c r="K11">
        <v>4.45</v>
      </c>
      <c r="L11">
        <v>1.4173</v>
      </c>
      <c r="M11">
        <v>1.1507000000000001</v>
      </c>
    </row>
    <row r="12" spans="1:13" x14ac:dyDescent="0.2">
      <c r="A12" t="s">
        <v>52</v>
      </c>
      <c r="B12">
        <v>260</v>
      </c>
      <c r="C12">
        <v>35.93</v>
      </c>
      <c r="D12">
        <v>63.11</v>
      </c>
      <c r="E12">
        <v>6.7</v>
      </c>
      <c r="F12">
        <v>13.395899999999999</v>
      </c>
      <c r="G12">
        <v>108</v>
      </c>
      <c r="H12">
        <v>84</v>
      </c>
      <c r="I12">
        <v>28</v>
      </c>
      <c r="J12">
        <v>28</v>
      </c>
      <c r="K12">
        <v>4.12</v>
      </c>
      <c r="L12">
        <v>1.4249000000000001</v>
      </c>
      <c r="M12">
        <v>1.1877</v>
      </c>
    </row>
    <row r="13" spans="1:13" x14ac:dyDescent="0.2">
      <c r="A13" t="s">
        <v>53</v>
      </c>
      <c r="B13">
        <v>142</v>
      </c>
      <c r="C13">
        <v>35.93</v>
      </c>
      <c r="D13">
        <v>31.43</v>
      </c>
      <c r="E13">
        <v>6.67</v>
      </c>
      <c r="F13">
        <v>13.339700000000001</v>
      </c>
      <c r="G13">
        <v>101</v>
      </c>
      <c r="H13">
        <v>80</v>
      </c>
      <c r="I13">
        <v>29</v>
      </c>
      <c r="J13">
        <v>28</v>
      </c>
      <c r="K13">
        <v>4.5199999999999996</v>
      </c>
      <c r="L13">
        <v>1.3148</v>
      </c>
      <c r="M13">
        <v>1.1493</v>
      </c>
    </row>
    <row r="14" spans="1:13" x14ac:dyDescent="0.2">
      <c r="A14" t="s">
        <v>54</v>
      </c>
      <c r="B14">
        <v>130</v>
      </c>
      <c r="C14">
        <v>36.57</v>
      </c>
      <c r="D14">
        <v>31.36</v>
      </c>
      <c r="E14">
        <v>6.65</v>
      </c>
      <c r="F14">
        <v>13.295199999999999</v>
      </c>
      <c r="G14">
        <v>110</v>
      </c>
      <c r="H14">
        <v>84</v>
      </c>
      <c r="I14">
        <v>28</v>
      </c>
      <c r="J14">
        <v>28</v>
      </c>
      <c r="K14">
        <v>4.1500000000000004</v>
      </c>
      <c r="L14">
        <v>1.3206</v>
      </c>
      <c r="M14">
        <v>1.2039</v>
      </c>
    </row>
    <row r="15" spans="1:13" x14ac:dyDescent="0.2">
      <c r="A15" t="s">
        <v>55</v>
      </c>
      <c r="B15">
        <v>108</v>
      </c>
      <c r="C15">
        <v>34.69</v>
      </c>
      <c r="D15">
        <v>30.52</v>
      </c>
      <c r="E15">
        <v>6.48</v>
      </c>
      <c r="F15">
        <v>12.9541</v>
      </c>
      <c r="G15">
        <v>117</v>
      </c>
      <c r="H15">
        <v>92</v>
      </c>
      <c r="I15">
        <v>28</v>
      </c>
      <c r="J15">
        <v>28</v>
      </c>
      <c r="K15">
        <v>3.54</v>
      </c>
      <c r="L15">
        <v>1.3123</v>
      </c>
      <c r="M15">
        <v>1.1718</v>
      </c>
    </row>
    <row r="16" spans="1:13" x14ac:dyDescent="0.2">
      <c r="A16" t="s">
        <v>56</v>
      </c>
      <c r="B16">
        <v>150</v>
      </c>
      <c r="C16">
        <v>37.29</v>
      </c>
      <c r="D16">
        <v>32.03</v>
      </c>
      <c r="E16">
        <v>6.8000000000000007</v>
      </c>
      <c r="F16">
        <v>13.5989</v>
      </c>
      <c r="G16">
        <v>101</v>
      </c>
      <c r="H16">
        <v>85</v>
      </c>
      <c r="I16">
        <v>29</v>
      </c>
      <c r="J16">
        <v>30</v>
      </c>
      <c r="K16">
        <v>4.68</v>
      </c>
      <c r="L16">
        <v>1.323</v>
      </c>
      <c r="M16">
        <v>1.1625000000000001</v>
      </c>
    </row>
    <row r="17" spans="1:13" x14ac:dyDescent="0.2">
      <c r="A17" t="s">
        <v>57</v>
      </c>
      <c r="B17">
        <v>544</v>
      </c>
      <c r="C17">
        <v>36.11</v>
      </c>
      <c r="D17">
        <v>125.79</v>
      </c>
      <c r="E17">
        <v>6.67</v>
      </c>
      <c r="F17">
        <v>13.346500000000001</v>
      </c>
      <c r="G17">
        <v>107</v>
      </c>
      <c r="H17">
        <v>85</v>
      </c>
      <c r="I17">
        <v>28</v>
      </c>
      <c r="J17">
        <v>28</v>
      </c>
      <c r="K17">
        <v>4.32</v>
      </c>
      <c r="L17">
        <v>1.4671000000000001</v>
      </c>
      <c r="M17">
        <v>1.1660999999999999</v>
      </c>
    </row>
    <row r="19" spans="1:13" x14ac:dyDescent="0.2">
      <c r="A19" s="3" t="s">
        <v>59</v>
      </c>
    </row>
    <row r="20" spans="1:13" x14ac:dyDescent="0.2">
      <c r="A20" t="s">
        <v>43</v>
      </c>
      <c r="B20">
        <v>74</v>
      </c>
      <c r="C20">
        <v>37.44</v>
      </c>
      <c r="D20">
        <v>15.71</v>
      </c>
      <c r="E20">
        <v>6.660000000000001</v>
      </c>
      <c r="F20">
        <v>13.320600000000001</v>
      </c>
      <c r="G20">
        <v>100</v>
      </c>
      <c r="H20">
        <v>84</v>
      </c>
      <c r="I20">
        <v>28</v>
      </c>
      <c r="J20">
        <v>27</v>
      </c>
      <c r="K20">
        <v>4.71</v>
      </c>
      <c r="L20">
        <v>1.3204</v>
      </c>
      <c r="M20">
        <v>1.1376999999999999</v>
      </c>
    </row>
    <row r="21" spans="1:13" x14ac:dyDescent="0.2">
      <c r="A21" t="s">
        <v>44</v>
      </c>
      <c r="B21">
        <v>53</v>
      </c>
      <c r="C21">
        <v>35.42</v>
      </c>
      <c r="D21">
        <v>14.65</v>
      </c>
      <c r="E21">
        <v>6.23</v>
      </c>
      <c r="F21">
        <v>12.453200000000001</v>
      </c>
      <c r="G21">
        <v>112</v>
      </c>
      <c r="H21">
        <v>90</v>
      </c>
      <c r="I21">
        <v>28</v>
      </c>
      <c r="J21">
        <v>25</v>
      </c>
      <c r="K21">
        <v>3.62</v>
      </c>
      <c r="L21">
        <v>1.3026</v>
      </c>
      <c r="M21">
        <v>1.1399999999999999</v>
      </c>
    </row>
    <row r="22" spans="1:13" x14ac:dyDescent="0.2">
      <c r="A22" t="s">
        <v>45</v>
      </c>
      <c r="B22">
        <v>61</v>
      </c>
      <c r="C22">
        <v>30.509999999999998</v>
      </c>
      <c r="D22">
        <v>12.56</v>
      </c>
      <c r="E22">
        <v>5.33</v>
      </c>
      <c r="F22">
        <v>10.6698</v>
      </c>
      <c r="G22">
        <v>92</v>
      </c>
      <c r="H22">
        <v>75</v>
      </c>
      <c r="I22">
        <v>27</v>
      </c>
      <c r="J22">
        <v>26</v>
      </c>
      <c r="K22">
        <v>4.8600000000000003</v>
      </c>
      <c r="L22">
        <v>1.3129999999999999</v>
      </c>
      <c r="M22">
        <v>1.1267</v>
      </c>
    </row>
    <row r="23" spans="1:13" x14ac:dyDescent="0.2">
      <c r="A23" t="s">
        <v>46</v>
      </c>
      <c r="B23">
        <v>57</v>
      </c>
      <c r="C23">
        <v>35.449999999999996</v>
      </c>
      <c r="D23">
        <v>15.11</v>
      </c>
      <c r="E23">
        <v>6.4</v>
      </c>
      <c r="F23">
        <v>12.795299999999999</v>
      </c>
      <c r="G23">
        <v>113</v>
      </c>
      <c r="H23">
        <v>87</v>
      </c>
      <c r="I23">
        <v>28</v>
      </c>
      <c r="J23">
        <v>26</v>
      </c>
      <c r="K23">
        <v>3.77</v>
      </c>
      <c r="L23">
        <v>1.2936000000000001</v>
      </c>
      <c r="M23">
        <v>1.1462000000000001</v>
      </c>
    </row>
    <row r="24" spans="1:13" x14ac:dyDescent="0.2">
      <c r="A24" t="s">
        <v>47</v>
      </c>
      <c r="B24">
        <v>40</v>
      </c>
      <c r="C24">
        <v>31.119999999999997</v>
      </c>
      <c r="D24">
        <v>13.09</v>
      </c>
      <c r="E24">
        <v>5.56</v>
      </c>
      <c r="F24">
        <v>11.121</v>
      </c>
      <c r="G24">
        <v>114</v>
      </c>
      <c r="H24">
        <v>92</v>
      </c>
      <c r="I24">
        <v>26</v>
      </c>
      <c r="J24">
        <v>26</v>
      </c>
      <c r="K24">
        <v>3.06</v>
      </c>
      <c r="L24">
        <v>1.3324</v>
      </c>
      <c r="M24">
        <v>1.1724000000000001</v>
      </c>
    </row>
    <row r="25" spans="1:13" x14ac:dyDescent="0.2">
      <c r="A25" t="s">
        <v>48</v>
      </c>
      <c r="B25">
        <v>51</v>
      </c>
      <c r="C25">
        <v>32.33</v>
      </c>
      <c r="D25">
        <v>13.34</v>
      </c>
      <c r="E25">
        <v>5.65</v>
      </c>
      <c r="F25">
        <v>11.3063</v>
      </c>
      <c r="G25">
        <v>119</v>
      </c>
      <c r="H25">
        <v>84</v>
      </c>
      <c r="I25">
        <v>27</v>
      </c>
      <c r="J25">
        <v>27</v>
      </c>
      <c r="K25">
        <v>3.82</v>
      </c>
      <c r="L25">
        <v>1.3335999999999999</v>
      </c>
      <c r="M25">
        <v>1.1806000000000001</v>
      </c>
    </row>
    <row r="26" spans="1:13" x14ac:dyDescent="0.2">
      <c r="A26" t="s">
        <v>49</v>
      </c>
      <c r="B26">
        <v>59</v>
      </c>
      <c r="C26">
        <v>35.730000000000004</v>
      </c>
      <c r="D26">
        <v>15.32</v>
      </c>
      <c r="E26">
        <v>6.52</v>
      </c>
      <c r="F26">
        <v>13.0328</v>
      </c>
      <c r="G26">
        <v>108</v>
      </c>
      <c r="H26">
        <v>80</v>
      </c>
      <c r="I26">
        <v>27</v>
      </c>
      <c r="J26">
        <v>26</v>
      </c>
      <c r="K26">
        <v>3.85</v>
      </c>
      <c r="L26">
        <v>1.3079000000000001</v>
      </c>
      <c r="M26">
        <v>1.1984999999999999</v>
      </c>
    </row>
    <row r="27" spans="1:13" x14ac:dyDescent="0.2">
      <c r="A27" t="s">
        <v>50</v>
      </c>
      <c r="B27">
        <v>57</v>
      </c>
      <c r="C27">
        <v>32.440000000000005</v>
      </c>
      <c r="D27">
        <v>14.1</v>
      </c>
      <c r="E27">
        <v>5.9799999999999995</v>
      </c>
      <c r="F27">
        <v>11.960800000000001</v>
      </c>
      <c r="G27">
        <v>105</v>
      </c>
      <c r="H27">
        <v>84</v>
      </c>
      <c r="I27">
        <v>27</v>
      </c>
      <c r="J27">
        <v>27</v>
      </c>
      <c r="K27">
        <v>4.04</v>
      </c>
      <c r="L27">
        <v>1.3038000000000001</v>
      </c>
      <c r="M27">
        <v>1.1627000000000001</v>
      </c>
    </row>
    <row r="28" spans="1:13" x14ac:dyDescent="0.2">
      <c r="A28" t="s">
        <v>51</v>
      </c>
      <c r="B28">
        <v>260</v>
      </c>
      <c r="C28">
        <v>36.17</v>
      </c>
      <c r="D28">
        <v>62.48</v>
      </c>
      <c r="E28">
        <v>6.63</v>
      </c>
      <c r="F28">
        <v>13.2546</v>
      </c>
      <c r="G28">
        <v>109</v>
      </c>
      <c r="H28">
        <v>82</v>
      </c>
      <c r="I28">
        <v>28</v>
      </c>
      <c r="J28">
        <v>27</v>
      </c>
      <c r="K28">
        <v>4.16</v>
      </c>
      <c r="L28">
        <v>1.4208000000000001</v>
      </c>
      <c r="M28">
        <v>1.1327</v>
      </c>
    </row>
    <row r="29" spans="1:13" x14ac:dyDescent="0.2">
      <c r="A29" t="s">
        <v>68</v>
      </c>
      <c r="B29">
        <v>235</v>
      </c>
      <c r="C29">
        <v>34.589999999999996</v>
      </c>
      <c r="D29">
        <v>60.69</v>
      </c>
      <c r="E29">
        <v>6.4399999999999995</v>
      </c>
      <c r="F29">
        <v>12.8819</v>
      </c>
      <c r="G29">
        <v>113</v>
      </c>
      <c r="H29">
        <v>85</v>
      </c>
      <c r="I29">
        <v>27</v>
      </c>
      <c r="J29">
        <v>27</v>
      </c>
      <c r="K29">
        <v>3.87</v>
      </c>
      <c r="L29">
        <v>1.4286000000000001</v>
      </c>
      <c r="M29">
        <v>1.1711</v>
      </c>
    </row>
    <row r="30" spans="1:13" x14ac:dyDescent="0.2">
      <c r="A30" t="s">
        <v>53</v>
      </c>
      <c r="B30">
        <v>125</v>
      </c>
      <c r="C30">
        <v>35.89</v>
      </c>
      <c r="D30">
        <v>31.68</v>
      </c>
      <c r="E30">
        <v>6.7299999999999995</v>
      </c>
      <c r="F30">
        <v>13.4605</v>
      </c>
      <c r="G30">
        <v>112</v>
      </c>
      <c r="H30">
        <v>79</v>
      </c>
      <c r="I30">
        <v>27</v>
      </c>
      <c r="J30">
        <v>26</v>
      </c>
      <c r="K30">
        <v>3.95</v>
      </c>
      <c r="L30">
        <v>1.3220000000000001</v>
      </c>
      <c r="M30">
        <v>1.1314</v>
      </c>
    </row>
    <row r="31" spans="1:13" x14ac:dyDescent="0.2">
      <c r="A31" t="s">
        <v>54</v>
      </c>
      <c r="B31">
        <v>133</v>
      </c>
      <c r="C31">
        <v>37.4</v>
      </c>
      <c r="D31">
        <v>33.369999999999997</v>
      </c>
      <c r="E31">
        <v>7.08</v>
      </c>
      <c r="F31">
        <v>14.1676</v>
      </c>
      <c r="G31">
        <v>116</v>
      </c>
      <c r="H31">
        <v>82</v>
      </c>
      <c r="I31">
        <v>27</v>
      </c>
      <c r="J31">
        <v>26</v>
      </c>
      <c r="K31">
        <v>3.99</v>
      </c>
      <c r="L31">
        <v>1.3319000000000001</v>
      </c>
      <c r="M31">
        <v>1.1741999999999999</v>
      </c>
    </row>
    <row r="32" spans="1:13" x14ac:dyDescent="0.2">
      <c r="A32" t="s">
        <v>55</v>
      </c>
      <c r="B32">
        <v>101</v>
      </c>
      <c r="C32">
        <v>34.97</v>
      </c>
      <c r="D32">
        <v>29.81</v>
      </c>
      <c r="E32">
        <v>6.32</v>
      </c>
      <c r="F32">
        <v>12.642300000000001</v>
      </c>
      <c r="G32">
        <v>116</v>
      </c>
      <c r="H32">
        <v>92</v>
      </c>
      <c r="I32">
        <v>27</v>
      </c>
      <c r="J32">
        <v>26</v>
      </c>
      <c r="K32">
        <v>3.39</v>
      </c>
      <c r="L32">
        <v>1.3190999999999999</v>
      </c>
      <c r="M32">
        <v>1.1640999999999999</v>
      </c>
    </row>
    <row r="33" spans="1:13" x14ac:dyDescent="0.2">
      <c r="A33" t="s">
        <v>56</v>
      </c>
      <c r="B33">
        <v>140</v>
      </c>
      <c r="C33">
        <v>36.520000000000003</v>
      </c>
      <c r="D33">
        <v>31.27</v>
      </c>
      <c r="E33">
        <v>6.63</v>
      </c>
      <c r="F33">
        <v>13.26</v>
      </c>
      <c r="G33">
        <v>102</v>
      </c>
      <c r="H33">
        <v>84</v>
      </c>
      <c r="I33">
        <v>28</v>
      </c>
      <c r="J33">
        <v>27</v>
      </c>
      <c r="K33">
        <v>4.4800000000000004</v>
      </c>
      <c r="L33">
        <v>1.3311999999999999</v>
      </c>
      <c r="M33">
        <v>1.1446000000000001</v>
      </c>
    </row>
    <row r="34" spans="1:13" x14ac:dyDescent="0.2">
      <c r="A34" t="s">
        <v>57</v>
      </c>
      <c r="B34">
        <v>509</v>
      </c>
      <c r="C34">
        <v>36.19</v>
      </c>
      <c r="D34">
        <v>125.58</v>
      </c>
      <c r="E34">
        <v>6.660000000000001</v>
      </c>
      <c r="F34">
        <v>13.324199999999999</v>
      </c>
      <c r="G34">
        <v>111</v>
      </c>
      <c r="H34">
        <v>84</v>
      </c>
      <c r="I34">
        <v>27</v>
      </c>
      <c r="J34">
        <v>27</v>
      </c>
      <c r="K34">
        <v>4.05</v>
      </c>
      <c r="L34">
        <v>1.476</v>
      </c>
      <c r="M34">
        <v>1.1496999999999999</v>
      </c>
    </row>
    <row r="36" spans="1:13" x14ac:dyDescent="0.2">
      <c r="A36" s="3" t="s">
        <v>60</v>
      </c>
    </row>
    <row r="37" spans="1:13" x14ac:dyDescent="0.2">
      <c r="A37" t="s">
        <v>43</v>
      </c>
      <c r="B37">
        <f>B3-B20</f>
        <v>4</v>
      </c>
      <c r="C37">
        <f t="shared" ref="C37:M37" si="0">C3-C20</f>
        <v>0.38000000000000256</v>
      </c>
      <c r="D37">
        <f t="shared" si="0"/>
        <v>-4.0000000000000924E-2</v>
      </c>
      <c r="E37">
        <f t="shared" si="0"/>
        <v>-1.0000000000000675E-2</v>
      </c>
      <c r="F37">
        <f t="shared" si="0"/>
        <v>-3.0200000000000671E-2</v>
      </c>
      <c r="G37">
        <f t="shared" si="0"/>
        <v>1</v>
      </c>
      <c r="H37">
        <f t="shared" si="0"/>
        <v>4</v>
      </c>
      <c r="I37">
        <f t="shared" si="0"/>
        <v>2</v>
      </c>
      <c r="J37">
        <f t="shared" si="0"/>
        <v>3</v>
      </c>
      <c r="K37">
        <f t="shared" si="0"/>
        <v>0.27000000000000046</v>
      </c>
      <c r="L37">
        <f t="shared" si="0"/>
        <v>-1.2000000000000899E-3</v>
      </c>
      <c r="M37">
        <f t="shared" si="0"/>
        <v>1.9100000000000117E-2</v>
      </c>
    </row>
    <row r="38" spans="1:13" x14ac:dyDescent="0.2">
      <c r="A38" t="s">
        <v>44</v>
      </c>
      <c r="B38">
        <f t="shared" ref="B38:M51" si="1">B4-B21</f>
        <v>13</v>
      </c>
      <c r="C38">
        <f t="shared" si="1"/>
        <v>0.5</v>
      </c>
      <c r="D38">
        <f t="shared" si="1"/>
        <v>1.3699999999999992</v>
      </c>
      <c r="E38">
        <f t="shared" si="1"/>
        <v>0.54999999999999982</v>
      </c>
      <c r="F38">
        <f t="shared" si="1"/>
        <v>1.0972999999999988</v>
      </c>
      <c r="G38">
        <f t="shared" si="1"/>
        <v>-3</v>
      </c>
      <c r="H38">
        <f t="shared" si="1"/>
        <v>-1</v>
      </c>
      <c r="I38">
        <f t="shared" si="1"/>
        <v>1</v>
      </c>
      <c r="J38">
        <f t="shared" si="1"/>
        <v>3</v>
      </c>
      <c r="K38">
        <f t="shared" si="1"/>
        <v>0.5</v>
      </c>
      <c r="L38">
        <f t="shared" si="1"/>
        <v>1.5600000000000058E-2</v>
      </c>
      <c r="M38">
        <f t="shared" si="1"/>
        <v>1.9200000000000106E-2</v>
      </c>
    </row>
    <row r="39" spans="1:13" x14ac:dyDescent="0.2">
      <c r="A39" t="s">
        <v>45</v>
      </c>
      <c r="B39">
        <f t="shared" si="1"/>
        <v>8</v>
      </c>
      <c r="C39">
        <f t="shared" si="1"/>
        <v>5.2700000000000031</v>
      </c>
      <c r="D39">
        <f t="shared" si="1"/>
        <v>2.8599999999999994</v>
      </c>
      <c r="E39">
        <f t="shared" si="1"/>
        <v>1.21</v>
      </c>
      <c r="F39">
        <f t="shared" si="1"/>
        <v>2.4094999999999995</v>
      </c>
      <c r="G39">
        <f t="shared" si="1"/>
        <v>5</v>
      </c>
      <c r="H39">
        <f t="shared" si="1"/>
        <v>2</v>
      </c>
      <c r="I39">
        <f t="shared" si="1"/>
        <v>1</v>
      </c>
      <c r="J39">
        <f t="shared" si="1"/>
        <v>2</v>
      </c>
      <c r="K39">
        <f t="shared" si="1"/>
        <v>-0.39000000000000057</v>
      </c>
      <c r="L39">
        <f t="shared" si="1"/>
        <v>-3.1999999999998696E-3</v>
      </c>
      <c r="M39">
        <f t="shared" si="1"/>
        <v>3.2699999999999951E-2</v>
      </c>
    </row>
    <row r="40" spans="1:13" x14ac:dyDescent="0.2">
      <c r="A40" t="s">
        <v>46</v>
      </c>
      <c r="B40">
        <f t="shared" si="1"/>
        <v>-3</v>
      </c>
      <c r="C40">
        <f t="shared" si="1"/>
        <v>-6.9999999999993179E-2</v>
      </c>
      <c r="D40">
        <f t="shared" si="1"/>
        <v>-4.9999999999998934E-2</v>
      </c>
      <c r="E40">
        <f t="shared" si="1"/>
        <v>0</v>
      </c>
      <c r="F40">
        <f t="shared" si="1"/>
        <v>-4.6999999999997044E-3</v>
      </c>
      <c r="G40">
        <f t="shared" si="1"/>
        <v>3</v>
      </c>
      <c r="H40">
        <f t="shared" si="1"/>
        <v>9</v>
      </c>
      <c r="I40">
        <f t="shared" si="1"/>
        <v>1</v>
      </c>
      <c r="J40">
        <f t="shared" si="1"/>
        <v>2</v>
      </c>
      <c r="K40">
        <f t="shared" si="1"/>
        <v>-0.18000000000000016</v>
      </c>
      <c r="L40">
        <f t="shared" si="1"/>
        <v>1.4799999999999924E-2</v>
      </c>
      <c r="M40">
        <f t="shared" si="1"/>
        <v>1.4100000000000001E-2</v>
      </c>
    </row>
    <row r="41" spans="1:13" x14ac:dyDescent="0.2">
      <c r="A41" t="s">
        <v>47</v>
      </c>
      <c r="B41">
        <f t="shared" si="1"/>
        <v>9</v>
      </c>
      <c r="C41">
        <f t="shared" si="1"/>
        <v>2.8800000000000026</v>
      </c>
      <c r="D41">
        <f t="shared" si="1"/>
        <v>1.8000000000000007</v>
      </c>
      <c r="E41">
        <f t="shared" si="1"/>
        <v>0.75</v>
      </c>
      <c r="F41">
        <f t="shared" si="1"/>
        <v>1.5078999999999994</v>
      </c>
      <c r="G41">
        <f t="shared" si="1"/>
        <v>1</v>
      </c>
      <c r="H41">
        <f t="shared" si="1"/>
        <v>-5</v>
      </c>
      <c r="I41">
        <f t="shared" si="1"/>
        <v>1</v>
      </c>
      <c r="J41">
        <f t="shared" si="1"/>
        <v>2</v>
      </c>
      <c r="K41">
        <f t="shared" si="1"/>
        <v>0.22999999999999998</v>
      </c>
      <c r="L41">
        <f t="shared" si="1"/>
        <v>-2.5800000000000045E-2</v>
      </c>
      <c r="M41">
        <f t="shared" si="1"/>
        <v>1.2899999999999912E-2</v>
      </c>
    </row>
    <row r="42" spans="1:13" x14ac:dyDescent="0.2">
      <c r="A42" t="s">
        <v>48</v>
      </c>
      <c r="B42">
        <f t="shared" si="1"/>
        <v>12</v>
      </c>
      <c r="C42">
        <f>C8-C25</f>
        <v>4.7899999999999991</v>
      </c>
      <c r="D42">
        <f t="shared" si="1"/>
        <v>1.92</v>
      </c>
      <c r="E42">
        <f t="shared" si="1"/>
        <v>0.83000000000000007</v>
      </c>
      <c r="F42">
        <f t="shared" si="1"/>
        <v>1.6580999999999992</v>
      </c>
      <c r="G42">
        <f t="shared" si="1"/>
        <v>-14</v>
      </c>
      <c r="H42">
        <f t="shared" si="1"/>
        <v>1</v>
      </c>
      <c r="I42">
        <f t="shared" si="1"/>
        <v>2</v>
      </c>
      <c r="J42">
        <f t="shared" si="1"/>
        <v>1</v>
      </c>
      <c r="K42">
        <f t="shared" si="1"/>
        <v>0.31000000000000005</v>
      </c>
      <c r="L42">
        <f t="shared" si="1"/>
        <v>-1.5999999999999792E-2</v>
      </c>
      <c r="M42">
        <f t="shared" si="1"/>
        <v>-1.9700000000000051E-2</v>
      </c>
    </row>
    <row r="43" spans="1:13" x14ac:dyDescent="0.2">
      <c r="A43" t="s">
        <v>49</v>
      </c>
      <c r="B43">
        <f t="shared" si="1"/>
        <v>7</v>
      </c>
      <c r="C43">
        <f t="shared" si="1"/>
        <v>0.27999999999999403</v>
      </c>
      <c r="D43">
        <f t="shared" si="1"/>
        <v>0.75</v>
      </c>
      <c r="E43">
        <f t="shared" si="1"/>
        <v>0.28000000000000114</v>
      </c>
      <c r="F43">
        <f t="shared" si="1"/>
        <v>0.57259999999999955</v>
      </c>
      <c r="G43">
        <f t="shared" si="1"/>
        <v>1</v>
      </c>
      <c r="H43">
        <f t="shared" si="1"/>
        <v>-1</v>
      </c>
      <c r="I43">
        <f t="shared" si="1"/>
        <v>1</v>
      </c>
      <c r="J43">
        <f t="shared" si="1"/>
        <v>2</v>
      </c>
      <c r="K43">
        <f t="shared" si="1"/>
        <v>0.26000000000000023</v>
      </c>
      <c r="L43">
        <f t="shared" si="1"/>
        <v>1.9900000000000029E-2</v>
      </c>
      <c r="M43">
        <f t="shared" si="1"/>
        <v>2.5000000000000133E-2</v>
      </c>
    </row>
    <row r="44" spans="1:13" x14ac:dyDescent="0.2">
      <c r="A44" t="s">
        <v>50</v>
      </c>
      <c r="B44">
        <f t="shared" si="1"/>
        <v>11</v>
      </c>
      <c r="C44">
        <f t="shared" si="1"/>
        <v>4.1499999999999986</v>
      </c>
      <c r="D44">
        <f t="shared" si="1"/>
        <v>2.08</v>
      </c>
      <c r="E44">
        <f t="shared" si="1"/>
        <v>0.90000000000000036</v>
      </c>
      <c r="F44">
        <f t="shared" si="1"/>
        <v>1.7970999999999986</v>
      </c>
      <c r="G44">
        <f t="shared" si="1"/>
        <v>-1</v>
      </c>
      <c r="H44">
        <f t="shared" si="1"/>
        <v>4</v>
      </c>
      <c r="I44">
        <f t="shared" si="1"/>
        <v>1</v>
      </c>
      <c r="J44">
        <f t="shared" si="1"/>
        <v>1</v>
      </c>
      <c r="K44">
        <f t="shared" si="1"/>
        <v>0.16000000000000014</v>
      </c>
      <c r="L44">
        <f t="shared" si="1"/>
        <v>2.7599999999999847E-2</v>
      </c>
      <c r="M44">
        <f t="shared" si="1"/>
        <v>1.2399999999999967E-2</v>
      </c>
    </row>
    <row r="45" spans="1:13" x14ac:dyDescent="0.2">
      <c r="A45" t="s">
        <v>51</v>
      </c>
      <c r="B45">
        <f t="shared" si="1"/>
        <v>16</v>
      </c>
      <c r="C45">
        <f t="shared" si="1"/>
        <v>8.9999999999996305E-2</v>
      </c>
      <c r="D45">
        <f t="shared" si="1"/>
        <v>-0.4199999999999946</v>
      </c>
      <c r="E45">
        <f t="shared" si="1"/>
        <v>-4.9999999999999822E-2</v>
      </c>
      <c r="F45">
        <f t="shared" si="1"/>
        <v>-8.5900000000000531E-2</v>
      </c>
      <c r="G45">
        <f t="shared" si="1"/>
        <v>-4</v>
      </c>
      <c r="H45">
        <f t="shared" si="1"/>
        <v>3</v>
      </c>
      <c r="I45">
        <f t="shared" si="1"/>
        <v>1</v>
      </c>
      <c r="J45">
        <f t="shared" si="1"/>
        <v>1</v>
      </c>
      <c r="K45">
        <f t="shared" si="1"/>
        <v>0.29000000000000004</v>
      </c>
      <c r="L45">
        <f t="shared" si="1"/>
        <v>-3.5000000000000586E-3</v>
      </c>
      <c r="M45">
        <f t="shared" si="1"/>
        <v>1.8000000000000016E-2</v>
      </c>
    </row>
    <row r="46" spans="1:13" x14ac:dyDescent="0.2">
      <c r="A46" t="s">
        <v>52</v>
      </c>
      <c r="B46">
        <f t="shared" si="1"/>
        <v>25</v>
      </c>
      <c r="C46">
        <f t="shared" si="1"/>
        <v>1.3400000000000034</v>
      </c>
      <c r="D46">
        <f t="shared" si="1"/>
        <v>2.4200000000000017</v>
      </c>
      <c r="E46">
        <f t="shared" si="1"/>
        <v>0.26000000000000068</v>
      </c>
      <c r="F46">
        <f t="shared" si="1"/>
        <v>0.51399999999999935</v>
      </c>
      <c r="G46">
        <f t="shared" si="1"/>
        <v>-5</v>
      </c>
      <c r="H46">
        <f t="shared" si="1"/>
        <v>-1</v>
      </c>
      <c r="I46">
        <f t="shared" si="1"/>
        <v>1</v>
      </c>
      <c r="J46">
        <f t="shared" si="1"/>
        <v>1</v>
      </c>
      <c r="K46">
        <f t="shared" si="1"/>
        <v>0.25</v>
      </c>
      <c r="L46">
        <f t="shared" si="1"/>
        <v>-3.7000000000000366E-3</v>
      </c>
      <c r="M46">
        <f t="shared" si="1"/>
        <v>1.6599999999999948E-2</v>
      </c>
    </row>
    <row r="47" spans="1:13" x14ac:dyDescent="0.2">
      <c r="A47" t="s">
        <v>53</v>
      </c>
      <c r="B47">
        <f t="shared" si="1"/>
        <v>17</v>
      </c>
      <c r="C47">
        <f t="shared" si="1"/>
        <v>3.9999999999999147E-2</v>
      </c>
      <c r="D47">
        <f t="shared" si="1"/>
        <v>-0.25</v>
      </c>
      <c r="E47">
        <f t="shared" si="1"/>
        <v>-5.9999999999999609E-2</v>
      </c>
      <c r="F47">
        <f t="shared" si="1"/>
        <v>-0.12079999999999913</v>
      </c>
      <c r="G47">
        <f t="shared" si="1"/>
        <v>-11</v>
      </c>
      <c r="H47">
        <f t="shared" si="1"/>
        <v>1</v>
      </c>
      <c r="I47">
        <f t="shared" si="1"/>
        <v>2</v>
      </c>
      <c r="J47">
        <f t="shared" si="1"/>
        <v>2</v>
      </c>
      <c r="K47">
        <f t="shared" si="1"/>
        <v>0.5699999999999994</v>
      </c>
      <c r="L47">
        <f t="shared" si="1"/>
        <v>-7.2000000000000952E-3</v>
      </c>
      <c r="M47">
        <f t="shared" si="1"/>
        <v>1.7900000000000027E-2</v>
      </c>
    </row>
    <row r="48" spans="1:13" x14ac:dyDescent="0.2">
      <c r="A48" t="s">
        <v>54</v>
      </c>
      <c r="B48">
        <f t="shared" si="1"/>
        <v>-3</v>
      </c>
      <c r="C48">
        <f t="shared" si="1"/>
        <v>-0.82999999999999829</v>
      </c>
      <c r="D48">
        <f t="shared" si="1"/>
        <v>-2.009999999999998</v>
      </c>
      <c r="E48">
        <f t="shared" si="1"/>
        <v>-0.42999999999999972</v>
      </c>
      <c r="F48">
        <f t="shared" si="1"/>
        <v>-0.87240000000000073</v>
      </c>
      <c r="G48">
        <f t="shared" si="1"/>
        <v>-6</v>
      </c>
      <c r="H48">
        <f t="shared" si="1"/>
        <v>2</v>
      </c>
      <c r="I48">
        <f t="shared" si="1"/>
        <v>1</v>
      </c>
      <c r="J48">
        <f t="shared" si="1"/>
        <v>2</v>
      </c>
      <c r="K48">
        <f t="shared" si="1"/>
        <v>0.16000000000000014</v>
      </c>
      <c r="L48">
        <f t="shared" si="1"/>
        <v>-1.1300000000000088E-2</v>
      </c>
      <c r="M48">
        <f t="shared" si="1"/>
        <v>2.970000000000006E-2</v>
      </c>
    </row>
    <row r="49" spans="1:13" x14ac:dyDescent="0.2">
      <c r="A49" t="s">
        <v>55</v>
      </c>
      <c r="B49">
        <f t="shared" si="1"/>
        <v>7</v>
      </c>
      <c r="C49">
        <f t="shared" si="1"/>
        <v>-0.28000000000000114</v>
      </c>
      <c r="D49">
        <f t="shared" si="1"/>
        <v>0.71000000000000085</v>
      </c>
      <c r="E49">
        <f t="shared" si="1"/>
        <v>0.16000000000000014</v>
      </c>
      <c r="F49">
        <f t="shared" si="1"/>
        <v>0.31179999999999986</v>
      </c>
      <c r="G49">
        <f t="shared" si="1"/>
        <v>1</v>
      </c>
      <c r="H49">
        <f t="shared" si="1"/>
        <v>0</v>
      </c>
      <c r="I49">
        <f t="shared" si="1"/>
        <v>1</v>
      </c>
      <c r="J49">
        <f t="shared" si="1"/>
        <v>2</v>
      </c>
      <c r="K49">
        <f t="shared" si="1"/>
        <v>0.14999999999999991</v>
      </c>
      <c r="L49">
        <f t="shared" si="1"/>
        <v>-6.7999999999999172E-3</v>
      </c>
      <c r="M49">
        <f t="shared" si="1"/>
        <v>7.7000000000000401E-3</v>
      </c>
    </row>
    <row r="50" spans="1:13" x14ac:dyDescent="0.2">
      <c r="A50" t="s">
        <v>56</v>
      </c>
      <c r="B50">
        <f t="shared" si="1"/>
        <v>10</v>
      </c>
      <c r="C50">
        <f t="shared" si="1"/>
        <v>0.76999999999999602</v>
      </c>
      <c r="D50">
        <f t="shared" si="1"/>
        <v>0.76000000000000156</v>
      </c>
      <c r="E50">
        <f t="shared" si="1"/>
        <v>0.17000000000000082</v>
      </c>
      <c r="F50">
        <f t="shared" si="1"/>
        <v>0.33890000000000065</v>
      </c>
      <c r="G50">
        <f t="shared" si="1"/>
        <v>-1</v>
      </c>
      <c r="H50">
        <f t="shared" si="1"/>
        <v>1</v>
      </c>
      <c r="I50">
        <f t="shared" si="1"/>
        <v>1</v>
      </c>
      <c r="J50">
        <f t="shared" si="1"/>
        <v>3</v>
      </c>
      <c r="K50">
        <f t="shared" si="1"/>
        <v>0.19999999999999929</v>
      </c>
      <c r="L50">
        <f t="shared" si="1"/>
        <v>-8.1999999999999851E-3</v>
      </c>
      <c r="M50">
        <f t="shared" si="1"/>
        <v>1.7900000000000027E-2</v>
      </c>
    </row>
    <row r="51" spans="1:13" x14ac:dyDescent="0.2">
      <c r="A51" t="s">
        <v>57</v>
      </c>
      <c r="B51">
        <f t="shared" si="1"/>
        <v>35</v>
      </c>
      <c r="C51">
        <f t="shared" si="1"/>
        <v>-7.9999999999998295E-2</v>
      </c>
      <c r="D51">
        <f t="shared" si="1"/>
        <v>0.21000000000000796</v>
      </c>
      <c r="E51">
        <f t="shared" si="1"/>
        <v>9.9999999999988987E-3</v>
      </c>
      <c r="F51">
        <f t="shared" si="1"/>
        <v>2.2300000000001319E-2</v>
      </c>
      <c r="G51">
        <f t="shared" si="1"/>
        <v>-4</v>
      </c>
      <c r="H51">
        <f t="shared" si="1"/>
        <v>1</v>
      </c>
      <c r="I51">
        <f t="shared" si="1"/>
        <v>1</v>
      </c>
      <c r="J51">
        <f t="shared" si="1"/>
        <v>1</v>
      </c>
      <c r="K51">
        <f t="shared" si="1"/>
        <v>0.27000000000000046</v>
      </c>
      <c r="L51">
        <f t="shared" si="1"/>
        <v>-8.899999999999908E-3</v>
      </c>
      <c r="M51">
        <f t="shared" si="1"/>
        <v>1.639999999999997E-2</v>
      </c>
    </row>
    <row r="53" spans="1:13" x14ac:dyDescent="0.2">
      <c r="A53" s="3" t="s">
        <v>61</v>
      </c>
    </row>
    <row r="54" spans="1:13" x14ac:dyDescent="0.2">
      <c r="A54" t="s">
        <v>43</v>
      </c>
      <c r="B54" s="9">
        <f>ABS(B37)/B20</f>
        <v>5.4054054054054057E-2</v>
      </c>
      <c r="C54" s="9">
        <f t="shared" ref="C54:M54" si="2">ABS(C37)/C20</f>
        <v>1.0149572649572719E-2</v>
      </c>
      <c r="D54" s="9">
        <f t="shared" si="2"/>
        <v>2.546148949713617E-3</v>
      </c>
      <c r="E54" s="9">
        <f t="shared" si="2"/>
        <v>1.5015015015016025E-3</v>
      </c>
      <c r="F54" s="9">
        <f t="shared" si="2"/>
        <v>2.2671651427113395E-3</v>
      </c>
      <c r="G54" s="9">
        <f t="shared" si="2"/>
        <v>0.01</v>
      </c>
      <c r="H54" s="9">
        <f t="shared" si="2"/>
        <v>4.7619047619047616E-2</v>
      </c>
      <c r="I54" s="9">
        <f t="shared" si="2"/>
        <v>7.1428571428571425E-2</v>
      </c>
      <c r="J54" s="9">
        <f t="shared" si="2"/>
        <v>0.1111111111111111</v>
      </c>
      <c r="K54" s="9">
        <f t="shared" si="2"/>
        <v>5.7324840764331308E-2</v>
      </c>
      <c r="L54" s="9">
        <f t="shared" si="2"/>
        <v>9.088155104514464E-4</v>
      </c>
      <c r="M54" s="9">
        <f t="shared" si="2"/>
        <v>1.678825700975663E-2</v>
      </c>
    </row>
    <row r="55" spans="1:13" x14ac:dyDescent="0.2">
      <c r="A55" t="s">
        <v>44</v>
      </c>
      <c r="B55" s="9">
        <f>ABS(B38)/B21</f>
        <v>0.24528301886792453</v>
      </c>
      <c r="C55" s="9">
        <f t="shared" ref="C55:M55" si="3">ABS(C38)/C21</f>
        <v>1.411631846414455E-2</v>
      </c>
      <c r="D55" s="9">
        <f t="shared" si="3"/>
        <v>9.3515358361774686E-2</v>
      </c>
      <c r="E55" s="9">
        <f t="shared" si="3"/>
        <v>8.8282504012841059E-2</v>
      </c>
      <c r="F55" s="9">
        <f t="shared" si="3"/>
        <v>8.8113898435743326E-2</v>
      </c>
      <c r="G55" s="9">
        <f t="shared" si="3"/>
        <v>2.6785714285714284E-2</v>
      </c>
      <c r="H55" s="9">
        <f t="shared" si="3"/>
        <v>1.1111111111111112E-2</v>
      </c>
      <c r="I55" s="9">
        <f t="shared" si="3"/>
        <v>3.5714285714285712E-2</v>
      </c>
      <c r="J55" s="9">
        <f t="shared" si="3"/>
        <v>0.12</v>
      </c>
      <c r="K55" s="9">
        <f t="shared" si="3"/>
        <v>0.13812154696132597</v>
      </c>
      <c r="L55" s="9">
        <f t="shared" si="3"/>
        <v>1.1976047904191661E-2</v>
      </c>
      <c r="M55" s="9">
        <f t="shared" si="3"/>
        <v>1.6842105263157988E-2</v>
      </c>
    </row>
    <row r="56" spans="1:13" x14ac:dyDescent="0.2">
      <c r="A56" t="s">
        <v>45</v>
      </c>
      <c r="B56" s="9">
        <f t="shared" ref="B55:M68" si="4">ABS(B39)/B22</f>
        <v>0.13114754098360656</v>
      </c>
      <c r="C56" s="9">
        <f t="shared" si="4"/>
        <v>0.17273025237627018</v>
      </c>
      <c r="D56" s="9">
        <f t="shared" si="4"/>
        <v>0.2277070063694267</v>
      </c>
      <c r="E56" s="9">
        <f t="shared" si="4"/>
        <v>0.22701688555347091</v>
      </c>
      <c r="F56" s="9">
        <f t="shared" si="4"/>
        <v>0.22582428911507241</v>
      </c>
      <c r="G56" s="9">
        <f t="shared" si="4"/>
        <v>5.434782608695652E-2</v>
      </c>
      <c r="H56" s="9">
        <f t="shared" si="4"/>
        <v>2.6666666666666668E-2</v>
      </c>
      <c r="I56" s="9">
        <f t="shared" si="4"/>
        <v>3.7037037037037035E-2</v>
      </c>
      <c r="J56" s="9">
        <f t="shared" si="4"/>
        <v>7.6923076923076927E-2</v>
      </c>
      <c r="K56" s="9">
        <f t="shared" si="4"/>
        <v>8.024691358024702E-2</v>
      </c>
      <c r="L56" s="9">
        <f t="shared" si="4"/>
        <v>2.4371667936023381E-3</v>
      </c>
      <c r="M56" s="9">
        <f t="shared" si="4"/>
        <v>2.9022809976036169E-2</v>
      </c>
    </row>
    <row r="57" spans="1:13" x14ac:dyDescent="0.2">
      <c r="A57" t="s">
        <v>46</v>
      </c>
      <c r="B57" s="9">
        <f t="shared" si="4"/>
        <v>5.2631578947368418E-2</v>
      </c>
      <c r="C57" s="9">
        <f t="shared" si="4"/>
        <v>1.9746121297600336E-3</v>
      </c>
      <c r="D57" s="9">
        <f t="shared" si="4"/>
        <v>3.3090668431501611E-3</v>
      </c>
      <c r="E57" s="9">
        <f t="shared" si="4"/>
        <v>0</v>
      </c>
      <c r="F57" s="9">
        <f t="shared" si="4"/>
        <v>3.6732237618498237E-4</v>
      </c>
      <c r="G57" s="9">
        <f t="shared" si="4"/>
        <v>2.6548672566371681E-2</v>
      </c>
      <c r="H57" s="9">
        <f t="shared" si="4"/>
        <v>0.10344827586206896</v>
      </c>
      <c r="I57" s="9">
        <f t="shared" si="4"/>
        <v>3.5714285714285712E-2</v>
      </c>
      <c r="J57" s="9">
        <f t="shared" si="4"/>
        <v>7.6923076923076927E-2</v>
      </c>
      <c r="K57" s="9">
        <f t="shared" si="4"/>
        <v>4.7745358090185722E-2</v>
      </c>
      <c r="L57" s="9">
        <f t="shared" si="4"/>
        <v>1.1440940012368525E-2</v>
      </c>
      <c r="M57" s="9">
        <f t="shared" si="4"/>
        <v>1.2301518059675449E-2</v>
      </c>
    </row>
    <row r="58" spans="1:13" x14ac:dyDescent="0.2">
      <c r="A58" t="s">
        <v>47</v>
      </c>
      <c r="B58" s="9">
        <f t="shared" si="4"/>
        <v>0.22500000000000001</v>
      </c>
      <c r="C58" s="9">
        <f t="shared" si="4"/>
        <v>9.2544987146529659E-2</v>
      </c>
      <c r="D58" s="9">
        <f t="shared" si="4"/>
        <v>0.13750954927425521</v>
      </c>
      <c r="E58" s="9">
        <f t="shared" si="4"/>
        <v>0.13489208633093527</v>
      </c>
      <c r="F58" s="9">
        <f t="shared" si="4"/>
        <v>0.13559032461109605</v>
      </c>
      <c r="G58" s="9">
        <f t="shared" si="4"/>
        <v>8.771929824561403E-3</v>
      </c>
      <c r="H58" s="9">
        <f t="shared" si="4"/>
        <v>5.434782608695652E-2</v>
      </c>
      <c r="I58" s="9">
        <f t="shared" si="4"/>
        <v>3.8461538461538464E-2</v>
      </c>
      <c r="J58" s="9">
        <f t="shared" si="4"/>
        <v>7.6923076923076927E-2</v>
      </c>
      <c r="K58" s="9">
        <f t="shared" si="4"/>
        <v>7.5163398692810454E-2</v>
      </c>
      <c r="L58" s="9">
        <f t="shared" si="4"/>
        <v>1.9363554488141733E-2</v>
      </c>
      <c r="M58" s="9">
        <f t="shared" si="4"/>
        <v>1.100307062436021E-2</v>
      </c>
    </row>
    <row r="59" spans="1:13" x14ac:dyDescent="0.2">
      <c r="A59" t="s">
        <v>48</v>
      </c>
      <c r="B59" s="9">
        <f t="shared" si="4"/>
        <v>0.23529411764705882</v>
      </c>
      <c r="C59" s="9">
        <f t="shared" si="4"/>
        <v>0.14815960408289514</v>
      </c>
      <c r="D59" s="9">
        <f t="shared" si="4"/>
        <v>0.14392803598200898</v>
      </c>
      <c r="E59" s="9">
        <f t="shared" si="4"/>
        <v>0.14690265486725665</v>
      </c>
      <c r="F59" s="9">
        <f>ABS(F42)/F25</f>
        <v>0.14665275112105633</v>
      </c>
      <c r="G59" s="9">
        <f t="shared" si="4"/>
        <v>0.11764705882352941</v>
      </c>
      <c r="H59" s="9">
        <f t="shared" si="4"/>
        <v>1.1904761904761904E-2</v>
      </c>
      <c r="I59" s="9">
        <f t="shared" si="4"/>
        <v>7.407407407407407E-2</v>
      </c>
      <c r="J59" s="9">
        <f t="shared" si="4"/>
        <v>3.7037037037037035E-2</v>
      </c>
      <c r="K59" s="9">
        <f t="shared" si="4"/>
        <v>8.1151832460733E-2</v>
      </c>
      <c r="L59" s="9">
        <f t="shared" si="4"/>
        <v>1.1997600479903864E-2</v>
      </c>
      <c r="M59" s="9">
        <f t="shared" si="4"/>
        <v>1.6686430628494026E-2</v>
      </c>
    </row>
    <row r="60" spans="1:13" x14ac:dyDescent="0.2">
      <c r="A60" t="s">
        <v>49</v>
      </c>
      <c r="B60" s="9">
        <f t="shared" si="4"/>
        <v>0.11864406779661017</v>
      </c>
      <c r="C60" s="9">
        <f t="shared" si="4"/>
        <v>7.8365519171562838E-3</v>
      </c>
      <c r="D60" s="9">
        <f t="shared" si="4"/>
        <v>4.89556135770235E-2</v>
      </c>
      <c r="E60" s="9">
        <f t="shared" si="4"/>
        <v>4.2944785276073795E-2</v>
      </c>
      <c r="F60" s="9">
        <f t="shared" si="4"/>
        <v>4.3935301700325301E-2</v>
      </c>
      <c r="G60" s="9">
        <f t="shared" si="4"/>
        <v>9.2592592592592587E-3</v>
      </c>
      <c r="H60" s="9">
        <f t="shared" si="4"/>
        <v>1.2500000000000001E-2</v>
      </c>
      <c r="I60" s="9">
        <f t="shared" si="4"/>
        <v>3.7037037037037035E-2</v>
      </c>
      <c r="J60" s="9">
        <f t="shared" si="4"/>
        <v>7.6923076923076927E-2</v>
      </c>
      <c r="K60" s="9">
        <f t="shared" si="4"/>
        <v>6.7532467532467597E-2</v>
      </c>
      <c r="L60" s="9">
        <f t="shared" si="4"/>
        <v>1.5215230522211199E-2</v>
      </c>
      <c r="M60" s="9">
        <f t="shared" si="4"/>
        <v>2.0859407592824477E-2</v>
      </c>
    </row>
    <row r="61" spans="1:13" x14ac:dyDescent="0.2">
      <c r="A61" t="s">
        <v>50</v>
      </c>
      <c r="B61" s="9">
        <f t="shared" si="4"/>
        <v>0.19298245614035087</v>
      </c>
      <c r="C61" s="9">
        <f t="shared" si="4"/>
        <v>0.12792848335388404</v>
      </c>
      <c r="D61" s="9">
        <f t="shared" si="4"/>
        <v>0.14751773049645392</v>
      </c>
      <c r="E61" s="9">
        <f t="shared" si="4"/>
        <v>0.15050167224080274</v>
      </c>
      <c r="F61" s="9">
        <f t="shared" si="4"/>
        <v>0.15024914721423305</v>
      </c>
      <c r="G61" s="9">
        <f t="shared" si="4"/>
        <v>9.5238095238095247E-3</v>
      </c>
      <c r="H61" s="9">
        <f t="shared" si="4"/>
        <v>4.7619047619047616E-2</v>
      </c>
      <c r="I61" s="9">
        <f t="shared" si="4"/>
        <v>3.7037037037037035E-2</v>
      </c>
      <c r="J61" s="9">
        <f t="shared" si="4"/>
        <v>3.7037037037037035E-2</v>
      </c>
      <c r="K61" s="9">
        <f t="shared" si="4"/>
        <v>3.9603960396039639E-2</v>
      </c>
      <c r="L61" s="9">
        <f t="shared" si="4"/>
        <v>2.1168890934192244E-2</v>
      </c>
      <c r="M61" s="9">
        <f t="shared" si="4"/>
        <v>1.0664831856884808E-2</v>
      </c>
    </row>
    <row r="62" spans="1:13" x14ac:dyDescent="0.2">
      <c r="A62" t="s">
        <v>51</v>
      </c>
      <c r="B62" s="9">
        <f t="shared" si="4"/>
        <v>6.1538461538461542E-2</v>
      </c>
      <c r="C62" s="9">
        <f t="shared" si="4"/>
        <v>2.4882499308818439E-3</v>
      </c>
      <c r="D62" s="9">
        <f t="shared" si="4"/>
        <v>6.7221510883481855E-3</v>
      </c>
      <c r="E62" s="9">
        <f t="shared" si="4"/>
        <v>7.541478129713397E-3</v>
      </c>
      <c r="F62" s="9">
        <f t="shared" si="4"/>
        <v>6.4807689405942488E-3</v>
      </c>
      <c r="G62" s="9">
        <f t="shared" si="4"/>
        <v>3.669724770642202E-2</v>
      </c>
      <c r="H62" s="9">
        <f t="shared" si="4"/>
        <v>3.6585365853658534E-2</v>
      </c>
      <c r="I62" s="9">
        <f t="shared" si="4"/>
        <v>3.5714285714285712E-2</v>
      </c>
      <c r="J62" s="9">
        <f t="shared" si="4"/>
        <v>3.7037037037037035E-2</v>
      </c>
      <c r="K62" s="9">
        <f t="shared" si="4"/>
        <v>6.9711538461538464E-2</v>
      </c>
      <c r="L62" s="9">
        <f t="shared" si="4"/>
        <v>2.4634009009009421E-3</v>
      </c>
      <c r="M62" s="9">
        <f t="shared" si="4"/>
        <v>1.5891233336276168E-2</v>
      </c>
    </row>
    <row r="63" spans="1:13" x14ac:dyDescent="0.2">
      <c r="A63" t="s">
        <v>52</v>
      </c>
      <c r="B63" s="9">
        <f t="shared" si="4"/>
        <v>0.10638297872340426</v>
      </c>
      <c r="C63" s="9">
        <f t="shared" si="4"/>
        <v>3.8739520092512386E-2</v>
      </c>
      <c r="D63" s="9">
        <f t="shared" si="4"/>
        <v>3.9874773438787307E-2</v>
      </c>
      <c r="E63" s="9">
        <f t="shared" si="4"/>
        <v>4.0372670807453527E-2</v>
      </c>
      <c r="F63" s="9">
        <f t="shared" si="4"/>
        <v>3.9900946288979063E-2</v>
      </c>
      <c r="G63" s="9">
        <f t="shared" si="4"/>
        <v>4.4247787610619468E-2</v>
      </c>
      <c r="H63" s="9">
        <f t="shared" si="4"/>
        <v>1.1764705882352941E-2</v>
      </c>
      <c r="I63" s="9">
        <f t="shared" si="4"/>
        <v>3.7037037037037035E-2</v>
      </c>
      <c r="J63" s="9">
        <f t="shared" si="4"/>
        <v>3.7037037037037035E-2</v>
      </c>
      <c r="K63" s="9">
        <f t="shared" si="4"/>
        <v>6.4599483204134361E-2</v>
      </c>
      <c r="L63" s="9">
        <f t="shared" si="4"/>
        <v>2.5899482010360046E-3</v>
      </c>
      <c r="M63" s="9">
        <f t="shared" si="4"/>
        <v>1.4174707539919689E-2</v>
      </c>
    </row>
    <row r="64" spans="1:13" x14ac:dyDescent="0.2">
      <c r="A64" t="s">
        <v>53</v>
      </c>
      <c r="B64" s="9">
        <f t="shared" si="4"/>
        <v>0.13600000000000001</v>
      </c>
      <c r="C64" s="9">
        <f t="shared" si="4"/>
        <v>1.1145165784340804E-3</v>
      </c>
      <c r="D64" s="9">
        <f t="shared" si="4"/>
        <v>7.8914141414141419E-3</v>
      </c>
      <c r="E64" s="9">
        <f t="shared" si="4"/>
        <v>8.9153046062406555E-3</v>
      </c>
      <c r="F64" s="9">
        <f t="shared" si="4"/>
        <v>8.9744065970802818E-3</v>
      </c>
      <c r="G64" s="9">
        <f t="shared" si="4"/>
        <v>9.8214285714285712E-2</v>
      </c>
      <c r="H64" s="9">
        <f t="shared" si="4"/>
        <v>1.2658227848101266E-2</v>
      </c>
      <c r="I64" s="9">
        <f t="shared" si="4"/>
        <v>7.407407407407407E-2</v>
      </c>
      <c r="J64" s="9">
        <f t="shared" si="4"/>
        <v>7.6923076923076927E-2</v>
      </c>
      <c r="K64" s="9">
        <f t="shared" si="4"/>
        <v>0.14430379746835428</v>
      </c>
      <c r="L64" s="9">
        <f t="shared" si="4"/>
        <v>5.4462934947050639E-3</v>
      </c>
      <c r="M64" s="9">
        <f t="shared" si="4"/>
        <v>1.5821106593600871E-2</v>
      </c>
    </row>
    <row r="65" spans="1:13" x14ac:dyDescent="0.2">
      <c r="A65" t="s">
        <v>54</v>
      </c>
      <c r="B65" s="9">
        <f t="shared" si="4"/>
        <v>2.2556390977443608E-2</v>
      </c>
      <c r="C65" s="9">
        <f t="shared" si="4"/>
        <v>2.2192513368983913E-2</v>
      </c>
      <c r="D65" s="9">
        <f t="shared" si="4"/>
        <v>6.0233742882828831E-2</v>
      </c>
      <c r="E65" s="9">
        <f t="shared" si="4"/>
        <v>6.0734463276836119E-2</v>
      </c>
      <c r="F65" s="9">
        <f t="shared" si="4"/>
        <v>6.1577119625060045E-2</v>
      </c>
      <c r="G65" s="9">
        <f t="shared" si="4"/>
        <v>5.1724137931034482E-2</v>
      </c>
      <c r="H65" s="9">
        <f t="shared" si="4"/>
        <v>2.4390243902439025E-2</v>
      </c>
      <c r="I65" s="9">
        <f t="shared" si="4"/>
        <v>3.7037037037037035E-2</v>
      </c>
      <c r="J65" s="9">
        <f t="shared" si="4"/>
        <v>7.6923076923076927E-2</v>
      </c>
      <c r="K65" s="9">
        <f t="shared" si="4"/>
        <v>4.0100250626566449E-2</v>
      </c>
      <c r="L65" s="9">
        <f t="shared" si="4"/>
        <v>8.4841204294617365E-3</v>
      </c>
      <c r="M65" s="9">
        <f t="shared" si="4"/>
        <v>2.5293817066939246E-2</v>
      </c>
    </row>
    <row r="66" spans="1:13" x14ac:dyDescent="0.2">
      <c r="A66" t="s">
        <v>55</v>
      </c>
      <c r="B66" s="9">
        <f t="shared" si="4"/>
        <v>6.9306930693069313E-2</v>
      </c>
      <c r="C66" s="9">
        <f t="shared" si="4"/>
        <v>8.006863025450419E-3</v>
      </c>
      <c r="D66" s="9">
        <f t="shared" si="4"/>
        <v>2.381751090238178E-2</v>
      </c>
      <c r="E66" s="9">
        <f t="shared" si="4"/>
        <v>2.5316455696202552E-2</v>
      </c>
      <c r="F66" s="9">
        <f t="shared" si="4"/>
        <v>2.4663233747023866E-2</v>
      </c>
      <c r="G66" s="9">
        <f t="shared" si="4"/>
        <v>8.6206896551724137E-3</v>
      </c>
      <c r="H66" s="9">
        <f t="shared" si="4"/>
        <v>0</v>
      </c>
      <c r="I66" s="9">
        <f t="shared" si="4"/>
        <v>3.7037037037037035E-2</v>
      </c>
      <c r="J66" s="9">
        <f t="shared" si="4"/>
        <v>7.6923076923076927E-2</v>
      </c>
      <c r="K66" s="9">
        <f t="shared" si="4"/>
        <v>4.4247787610619441E-2</v>
      </c>
      <c r="L66" s="9">
        <f t="shared" si="4"/>
        <v>5.1550299446591749E-3</v>
      </c>
      <c r="M66" s="9">
        <f t="shared" si="4"/>
        <v>6.6145520144317849E-3</v>
      </c>
    </row>
    <row r="67" spans="1:13" x14ac:dyDescent="0.2">
      <c r="A67" t="s">
        <v>56</v>
      </c>
      <c r="B67" s="9">
        <f t="shared" si="4"/>
        <v>7.1428571428571425E-2</v>
      </c>
      <c r="C67" s="9">
        <f t="shared" si="4"/>
        <v>2.1084337349397481E-2</v>
      </c>
      <c r="D67" s="9">
        <f t="shared" si="4"/>
        <v>2.4304445155100787E-2</v>
      </c>
      <c r="E67" s="9">
        <f t="shared" si="4"/>
        <v>2.5641025641025765E-2</v>
      </c>
      <c r="F67" s="9">
        <f t="shared" si="4"/>
        <v>2.5558069381598842E-2</v>
      </c>
      <c r="G67" s="9">
        <f t="shared" si="4"/>
        <v>9.8039215686274508E-3</v>
      </c>
      <c r="H67" s="9">
        <f t="shared" si="4"/>
        <v>1.1904761904761904E-2</v>
      </c>
      <c r="I67" s="9">
        <f t="shared" si="4"/>
        <v>3.5714285714285712E-2</v>
      </c>
      <c r="J67" s="9">
        <f t="shared" si="4"/>
        <v>0.1111111111111111</v>
      </c>
      <c r="K67" s="9">
        <f t="shared" si="4"/>
        <v>4.4642857142856977E-2</v>
      </c>
      <c r="L67" s="9">
        <f t="shared" si="4"/>
        <v>6.1598557692307586E-3</v>
      </c>
      <c r="M67" s="9">
        <f t="shared" si="4"/>
        <v>1.5638651057137888E-2</v>
      </c>
    </row>
    <row r="68" spans="1:13" x14ac:dyDescent="0.2">
      <c r="A68" t="s">
        <v>57</v>
      </c>
      <c r="B68" s="9">
        <f>ABS(B51)/B34</f>
        <v>6.8762278978389005E-2</v>
      </c>
      <c r="C68" s="9">
        <f t="shared" ref="C68:M68" si="5">ABS(C51)/C34</f>
        <v>2.2105554020447169E-3</v>
      </c>
      <c r="D68" s="9">
        <f t="shared" si="5"/>
        <v>1.6722408026756486E-3</v>
      </c>
      <c r="E68" s="9">
        <f t="shared" si="5"/>
        <v>1.5015015015013358E-3</v>
      </c>
      <c r="F68" s="9">
        <f t="shared" si="5"/>
        <v>1.6736464478168535E-3</v>
      </c>
      <c r="G68" s="9">
        <f t="shared" si="5"/>
        <v>3.6036036036036036E-2</v>
      </c>
      <c r="H68" s="9">
        <f t="shared" si="5"/>
        <v>1.1904761904761904E-2</v>
      </c>
      <c r="I68" s="9">
        <f t="shared" si="5"/>
        <v>3.7037037037037035E-2</v>
      </c>
      <c r="J68" s="9">
        <f t="shared" si="5"/>
        <v>3.7037037037037035E-2</v>
      </c>
      <c r="K68" s="9">
        <f t="shared" si="5"/>
        <v>6.6666666666666777E-2</v>
      </c>
      <c r="L68" s="9">
        <f t="shared" si="5"/>
        <v>6.0298102981029191E-3</v>
      </c>
      <c r="M68" s="9">
        <f t="shared" si="5"/>
        <v>1.4264590762807663E-2</v>
      </c>
    </row>
    <row r="69" spans="1:13" x14ac:dyDescent="0.2">
      <c r="A69" s="10" t="s">
        <v>69</v>
      </c>
      <c r="B69" s="11">
        <f>AVERAGE(B54:B68)</f>
        <v>0.11940082978508751</v>
      </c>
      <c r="C69" s="11">
        <f t="shared" ref="C69:M69" si="6">AVERAGE(C54:C68)</f>
        <v>4.4751795857861154E-2</v>
      </c>
      <c r="D69" s="11">
        <f t="shared" si="6"/>
        <v>6.4633652551022894E-2</v>
      </c>
      <c r="E69" s="11">
        <f t="shared" si="6"/>
        <v>6.4137665962790344E-2</v>
      </c>
      <c r="F69" s="11">
        <f t="shared" si="6"/>
        <v>6.4121892716305071E-2</v>
      </c>
      <c r="G69" s="11">
        <f t="shared" si="6"/>
        <v>3.6548558439493312E-2</v>
      </c>
      <c r="H69" s="11">
        <f t="shared" si="6"/>
        <v>2.8294986944382403E-2</v>
      </c>
      <c r="I69" s="11">
        <f t="shared" si="6"/>
        <v>4.4010310676977332E-2</v>
      </c>
      <c r="J69" s="11">
        <f t="shared" si="6"/>
        <v>7.1057929724596375E-2</v>
      </c>
      <c r="K69" s="11">
        <f t="shared" si="6"/>
        <v>7.0744179977258501E-2</v>
      </c>
      <c r="L69" s="11">
        <f t="shared" si="6"/>
        <v>8.7224470455439743E-3</v>
      </c>
      <c r="M69" s="11">
        <f t="shared" si="6"/>
        <v>1.6124472625486871E-2</v>
      </c>
    </row>
    <row r="70" spans="1:13" x14ac:dyDescent="0.2">
      <c r="A70" s="10" t="s">
        <v>66</v>
      </c>
      <c r="B70" s="11">
        <f>MAX(B54:B68)</f>
        <v>0.24528301886792453</v>
      </c>
      <c r="C70" s="11">
        <f t="shared" ref="C70:M70" si="7">MAX(C54:C68)</f>
        <v>0.17273025237627018</v>
      </c>
      <c r="D70" s="11">
        <f t="shared" si="7"/>
        <v>0.2277070063694267</v>
      </c>
      <c r="E70" s="11">
        <f t="shared" si="7"/>
        <v>0.22701688555347091</v>
      </c>
      <c r="F70" s="11">
        <f t="shared" si="7"/>
        <v>0.22582428911507241</v>
      </c>
      <c r="G70" s="11">
        <f t="shared" si="7"/>
        <v>0.11764705882352941</v>
      </c>
      <c r="H70" s="11">
        <f t="shared" si="7"/>
        <v>0.10344827586206896</v>
      </c>
      <c r="I70" s="11">
        <f t="shared" si="7"/>
        <v>7.407407407407407E-2</v>
      </c>
      <c r="J70" s="11">
        <f t="shared" si="7"/>
        <v>0.12</v>
      </c>
      <c r="K70" s="11">
        <f t="shared" si="7"/>
        <v>0.14430379746835428</v>
      </c>
      <c r="L70" s="11">
        <f t="shared" si="7"/>
        <v>2.1168890934192244E-2</v>
      </c>
      <c r="M70" s="11">
        <f t="shared" si="7"/>
        <v>2.9022809976036169E-2</v>
      </c>
    </row>
    <row r="71" spans="1:13" x14ac:dyDescent="0.2">
      <c r="A71" s="10" t="s">
        <v>70</v>
      </c>
      <c r="B71" s="12">
        <f>SQRT(SUMSQ(B37:B51)/COUNTA(B37:B51))</f>
        <v>14.619621518128755</v>
      </c>
      <c r="C71" s="12">
        <f t="shared" ref="C71:M71" si="8">SQRT(SUMSQ(C37:C51)/COUNTA(C37:C51))</f>
        <v>2.3077189314703532</v>
      </c>
      <c r="D71" s="12">
        <f t="shared" si="8"/>
        <v>1.4863175972853175</v>
      </c>
      <c r="E71" s="12">
        <f t="shared" si="8"/>
        <v>0.53038979376806772</v>
      </c>
      <c r="F71" s="12">
        <f t="shared" si="8"/>
        <v>1.0599059017982049</v>
      </c>
      <c r="G71" s="12">
        <f t="shared" si="8"/>
        <v>5.531726674375733</v>
      </c>
      <c r="H71" s="12">
        <f>SQRT(SUMSQ(H37:H51)/COUNTA(H37:H51))</f>
        <v>3.2863353450309969</v>
      </c>
      <c r="I71" s="12">
        <f>SQRT(SUMSQ(I37:I51)/COUNTA(I37:I51))</f>
        <v>1.2649110640673518</v>
      </c>
      <c r="J71" s="12">
        <f t="shared" si="8"/>
        <v>2</v>
      </c>
      <c r="K71" s="12">
        <f t="shared" si="8"/>
        <v>0.30354571319654644</v>
      </c>
      <c r="L71" s="12">
        <f t="shared" si="8"/>
        <v>1.4027710670906565E-2</v>
      </c>
      <c r="M71" s="12">
        <f t="shared" si="8"/>
        <v>1.9639297339772648E-2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Regional analysis_Square Grid</vt:lpstr>
      <vt:lpstr>Regional analysis_ETDRS Grid</vt:lpstr>
      <vt:lpstr>Regional analysis_Extended ETDR</vt:lpstr>
      <vt:lpstr>Regional analysis_Foveal Ring</vt:lpstr>
      <vt:lpstr>Regional analysis_ONH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Mila Zhang (22756463)</cp:lastModifiedBy>
  <dcterms:created xsi:type="dcterms:W3CDTF">2026-02-06T07:44:17Z</dcterms:created>
  <dcterms:modified xsi:type="dcterms:W3CDTF">2026-02-09T07:58:48Z</dcterms:modified>
</cp:coreProperties>
</file>